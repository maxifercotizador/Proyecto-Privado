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00 PROGRAMA MAXIFER/"/>
    </mc:Choice>
  </mc:AlternateContent>
  <xr:revisionPtr revIDLastSave="3053" documentId="13_ncr:1_{F39443B0-11EE-4A85-84B8-BCF3678BA4E9}" xr6:coauthVersionLast="47" xr6:coauthVersionMax="47" xr10:uidLastSave="{4FEC23E0-11ED-42D5-82F7-A98982FEA29E}"/>
  <bookViews>
    <workbookView xWindow="-120" yWindow="-120" windowWidth="29040" windowHeight="15720" activeTab="1" xr2:uid="{1931D894-749D-48A9-A8BE-C9478FEB98A2}"/>
  </bookViews>
  <sheets>
    <sheet name="GFijos" sheetId="1" r:id="rId1"/>
    <sheet name="Gastos Reales" sheetId="2" r:id="rId2"/>
    <sheet name="SUEL" sheetId="3" state="veryHidden" r:id="rId3"/>
  </sheets>
  <definedNames>
    <definedName name="_xlnm._FilterDatabase" localSheetId="1" hidden="1">'Gastos Reales'!$U$2:$X$206</definedName>
    <definedName name="DatosExternos_1" localSheetId="2" hidden="1">SUEL!$A$2:$C$197</definedName>
    <definedName name="DatosExternos_2" localSheetId="1" hidden="1">'Gastos Reales'!$E$2:$I$158</definedName>
    <definedName name="DatosExternos_3" localSheetId="2" hidden="1">SUEL!$E$2:$E$28</definedName>
    <definedName name="GASTOSFIJOS">GFijos!$HF$3:$HK$647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9" i="2" l="1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41" i="2"/>
  <c r="C44" i="1" l="1"/>
  <c r="AN3" i="1"/>
  <c r="CE11" i="1" l="1"/>
  <c r="S181" i="2" l="1"/>
  <c r="CE8" i="1" l="1"/>
  <c r="CE7" i="1"/>
  <c r="CE4" i="1"/>
  <c r="CA8" i="1"/>
  <c r="CA7" i="1"/>
  <c r="CA4" i="1"/>
  <c r="BW8" i="1"/>
  <c r="BW7" i="1"/>
  <c r="BW4" i="1"/>
  <c r="BS8" i="1"/>
  <c r="BS7" i="1"/>
  <c r="BS4" i="1"/>
  <c r="BO8" i="1"/>
  <c r="BO7" i="1"/>
  <c r="BO4" i="1"/>
  <c r="BK8" i="1"/>
  <c r="BK7" i="1"/>
  <c r="BK4" i="1"/>
  <c r="BG8" i="1"/>
  <c r="BG7" i="1"/>
  <c r="BG4" i="1"/>
  <c r="BC8" i="1"/>
  <c r="BC7" i="1"/>
  <c r="BC4" i="1"/>
  <c r="AY8" i="1"/>
  <c r="AY7" i="1"/>
  <c r="AY4" i="1"/>
  <c r="AU8" i="1"/>
  <c r="AU7" i="1"/>
  <c r="AU5" i="1"/>
  <c r="AY5" i="1" s="1"/>
  <c r="BC5" i="1" s="1"/>
  <c r="BG5" i="1" s="1"/>
  <c r="BK5" i="1" s="1"/>
  <c r="BO5" i="1" s="1"/>
  <c r="BS5" i="1" s="1"/>
  <c r="BW5" i="1" s="1"/>
  <c r="CA5" i="1" s="1"/>
  <c r="CE5" i="1" s="1"/>
  <c r="AU4" i="1"/>
  <c r="AU3" i="1"/>
  <c r="AY3" i="1" s="1"/>
  <c r="BC3" i="1" s="1"/>
  <c r="BG3" i="1" s="1"/>
  <c r="BK3" i="1" s="1"/>
  <c r="BO3" i="1" s="1"/>
  <c r="BS3" i="1" s="1"/>
  <c r="BW3" i="1" s="1"/>
  <c r="CA3" i="1" s="1"/>
  <c r="CE3" i="1" s="1"/>
  <c r="AQ4" i="1"/>
  <c r="AQ7" i="1"/>
  <c r="AQ8" i="1"/>
  <c r="AR39" i="1" l="1"/>
  <c r="AV39" i="1" s="1"/>
  <c r="AZ39" i="1" s="1"/>
  <c r="BD39" i="1" s="1"/>
  <c r="BH39" i="1" s="1"/>
  <c r="BL39" i="1" s="1"/>
  <c r="BP39" i="1" s="1"/>
  <c r="BT39" i="1" s="1"/>
  <c r="AJ39" i="1"/>
  <c r="S155" i="2"/>
  <c r="AJ7" i="1" l="1"/>
  <c r="AJ18" i="1"/>
  <c r="N215" i="2" l="1"/>
  <c r="S136" i="2"/>
  <c r="AJ5" i="1" l="1"/>
  <c r="I98" i="1" l="1"/>
  <c r="N151" i="2" l="1"/>
  <c r="AF24" i="1" l="1"/>
  <c r="AF9" i="1" l="1"/>
  <c r="AF7" i="1"/>
  <c r="AC63" i="1" l="1"/>
  <c r="N117" i="2" l="1"/>
  <c r="AF5" i="1" l="1"/>
  <c r="S51" i="2"/>
  <c r="S44" i="2" l="1"/>
  <c r="S36" i="2" l="1"/>
  <c r="AB39" i="1" l="1"/>
  <c r="H43" i="1"/>
  <c r="H38" i="1"/>
  <c r="H39" i="1" s="1"/>
  <c r="H40" i="1" s="1"/>
  <c r="H41" i="1" s="1"/>
  <c r="H42" i="1" s="1"/>
  <c r="AB24" i="1" l="1"/>
  <c r="AB7" i="1" l="1"/>
  <c r="AB55" i="1" l="1"/>
  <c r="AC55" i="1"/>
  <c r="AB5" i="1" l="1"/>
  <c r="S3" i="2"/>
  <c r="U3" i="2" s="1" a="1"/>
  <c r="U3" i="2" l="1"/>
  <c r="AG3" i="2" a="1"/>
  <c r="AG3" i="2" s="1"/>
  <c r="HL40" i="1"/>
  <c r="HF418" i="1" a="1"/>
  <c r="HF418" i="1" s="1"/>
  <c r="HF417" i="1" a="1"/>
  <c r="HF417" i="1" s="1"/>
  <c r="HF416" i="1" a="1"/>
  <c r="HF416" i="1" s="1"/>
  <c r="HF415" i="1" a="1"/>
  <c r="HF415" i="1" s="1"/>
  <c r="HF414" i="1" a="1"/>
  <c r="HF414" i="1" s="1"/>
  <c r="HF413" i="1" a="1"/>
  <c r="HF413" i="1" s="1"/>
  <c r="HF412" i="1" a="1"/>
  <c r="HF412" i="1" s="1"/>
  <c r="HF411" i="1" a="1"/>
  <c r="HF411" i="1" s="1"/>
  <c r="HF410" i="1" a="1"/>
  <c r="HF410" i="1" s="1"/>
  <c r="HF409" i="1" a="1"/>
  <c r="HF409" i="1" s="1"/>
  <c r="HF408" i="1" a="1"/>
  <c r="HF408" i="1" s="1"/>
  <c r="HF407" i="1" a="1"/>
  <c r="HF407" i="1" s="1"/>
  <c r="HF406" i="1" a="1"/>
  <c r="HF406" i="1" s="1"/>
  <c r="HF405" i="1" a="1"/>
  <c r="HF405" i="1" s="1"/>
  <c r="HF404" i="1" a="1"/>
  <c r="HF404" i="1" s="1"/>
  <c r="HF403" i="1" a="1"/>
  <c r="HF403" i="1" s="1"/>
  <c r="HF402" i="1" a="1"/>
  <c r="HF402" i="1" s="1"/>
  <c r="HF401" i="1" a="1"/>
  <c r="HF401" i="1" s="1"/>
  <c r="HF400" i="1" a="1"/>
  <c r="HF400" i="1" s="1"/>
  <c r="HF399" i="1" a="1"/>
  <c r="HF399" i="1" s="1"/>
  <c r="HF398" i="1" a="1"/>
  <c r="HF398" i="1" s="1"/>
  <c r="HF397" i="1" a="1"/>
  <c r="HF397" i="1" s="1"/>
  <c r="HF396" i="1" a="1"/>
  <c r="HF396" i="1" s="1"/>
  <c r="HF395" i="1" a="1"/>
  <c r="HF395" i="1" s="1"/>
  <c r="HF394" i="1" a="1"/>
  <c r="HF394" i="1" s="1"/>
  <c r="HF393" i="1" a="1"/>
  <c r="HF393" i="1" s="1"/>
  <c r="HF392" i="1" a="1"/>
  <c r="HF392" i="1" s="1"/>
  <c r="HF391" i="1" a="1"/>
  <c r="HF391" i="1" s="1"/>
  <c r="HF390" i="1" a="1"/>
  <c r="HF390" i="1" s="1"/>
  <c r="HF389" i="1" a="1"/>
  <c r="HF389" i="1" s="1"/>
  <c r="HF388" i="1" a="1"/>
  <c r="HF388" i="1" s="1"/>
  <c r="HF387" i="1" a="1"/>
  <c r="HF387" i="1" s="1"/>
  <c r="HF386" i="1" a="1"/>
  <c r="HF386" i="1" s="1"/>
  <c r="HF385" i="1" a="1"/>
  <c r="HF385" i="1" s="1"/>
  <c r="HF384" i="1" a="1"/>
  <c r="HF384" i="1" s="1"/>
  <c r="HF383" i="1" a="1"/>
  <c r="HF383" i="1" s="1"/>
  <c r="HF382" i="1" a="1"/>
  <c r="HF382" i="1" s="1"/>
  <c r="HF381" i="1" a="1"/>
  <c r="HF381" i="1" s="1"/>
  <c r="HF380" i="1" a="1"/>
  <c r="HF380" i="1" s="1"/>
  <c r="HF379" i="1" a="1"/>
  <c r="HF379" i="1" s="1"/>
  <c r="HF378" i="1" a="1"/>
  <c r="HF378" i="1" s="1"/>
  <c r="HF377" i="1" a="1"/>
  <c r="HF377" i="1" s="1"/>
  <c r="HF376" i="1" a="1"/>
  <c r="HF376" i="1" s="1"/>
  <c r="HF375" i="1" a="1"/>
  <c r="HF375" i="1" s="1"/>
  <c r="HF374" i="1" a="1"/>
  <c r="HF374" i="1" s="1"/>
  <c r="HF373" i="1" a="1"/>
  <c r="HF373" i="1" s="1"/>
  <c r="HF372" i="1" a="1"/>
  <c r="HF372" i="1" s="1"/>
  <c r="HF371" i="1" a="1"/>
  <c r="HF371" i="1" s="1"/>
  <c r="HF370" i="1" a="1"/>
  <c r="HF370" i="1" s="1"/>
  <c r="HF369" i="1" a="1"/>
  <c r="HF369" i="1" s="1"/>
  <c r="HF368" i="1" a="1"/>
  <c r="HF368" i="1" s="1"/>
  <c r="HF367" i="1" a="1"/>
  <c r="HF367" i="1" s="1"/>
  <c r="HF366" i="1" a="1"/>
  <c r="HF366" i="1" s="1"/>
  <c r="HF365" i="1" a="1"/>
  <c r="HF365" i="1" s="1"/>
  <c r="HF364" i="1" a="1"/>
  <c r="HF364" i="1" s="1"/>
  <c r="HF363" i="1" a="1"/>
  <c r="HF363" i="1" s="1"/>
  <c r="HF362" i="1" a="1"/>
  <c r="HF362" i="1" s="1"/>
  <c r="HF361" i="1" a="1"/>
  <c r="HF361" i="1" s="1"/>
  <c r="HF360" i="1" a="1"/>
  <c r="HF360" i="1" s="1"/>
  <c r="HF359" i="1" a="1"/>
  <c r="HF359" i="1" s="1"/>
  <c r="HF358" i="1" a="1"/>
  <c r="HF358" i="1" s="1"/>
  <c r="HF357" i="1" a="1"/>
  <c r="HF357" i="1" s="1"/>
  <c r="HF356" i="1" a="1"/>
  <c r="HF356" i="1" s="1"/>
  <c r="HF355" i="1" a="1"/>
  <c r="HF355" i="1" s="1"/>
  <c r="HF354" i="1" a="1"/>
  <c r="HF354" i="1" s="1"/>
  <c r="HF353" i="1" a="1"/>
  <c r="HF353" i="1" s="1"/>
  <c r="HF352" i="1" a="1"/>
  <c r="HF352" i="1" s="1"/>
  <c r="HF351" i="1" a="1"/>
  <c r="HF351" i="1" s="1"/>
  <c r="HF350" i="1" a="1"/>
  <c r="HF350" i="1" s="1"/>
  <c r="HF349" i="1" a="1"/>
  <c r="HF349" i="1" s="1"/>
  <c r="HF348" i="1" a="1"/>
  <c r="HF348" i="1" s="1"/>
  <c r="HF347" i="1" a="1"/>
  <c r="HF347" i="1" s="1"/>
  <c r="HF346" i="1" a="1"/>
  <c r="HF346" i="1" s="1"/>
  <c r="HF345" i="1" a="1"/>
  <c r="HF345" i="1" s="1"/>
  <c r="HF344" i="1" a="1"/>
  <c r="HF344" i="1" s="1"/>
  <c r="HF343" i="1" a="1"/>
  <c r="HF343" i="1" s="1"/>
  <c r="HF342" i="1" a="1"/>
  <c r="HF342" i="1" s="1"/>
  <c r="HF341" i="1" a="1"/>
  <c r="HF341" i="1" s="1"/>
  <c r="HF340" i="1" a="1"/>
  <c r="HF340" i="1" s="1"/>
  <c r="HF339" i="1" a="1"/>
  <c r="HF339" i="1" s="1"/>
  <c r="HF338" i="1" a="1"/>
  <c r="HF338" i="1" s="1"/>
  <c r="HF337" i="1" a="1"/>
  <c r="HF337" i="1" s="1"/>
  <c r="HF336" i="1" a="1"/>
  <c r="HF336" i="1" s="1"/>
  <c r="HF335" i="1" a="1"/>
  <c r="HF335" i="1" s="1"/>
  <c r="HF334" i="1" a="1"/>
  <c r="HF334" i="1" s="1"/>
  <c r="HF333" i="1" a="1"/>
  <c r="HF333" i="1" s="1"/>
  <c r="HF332" i="1" a="1"/>
  <c r="HF332" i="1" s="1"/>
  <c r="HF331" i="1" a="1"/>
  <c r="HF331" i="1" s="1"/>
  <c r="HF330" i="1" a="1"/>
  <c r="HF330" i="1" s="1"/>
  <c r="HF329" i="1" a="1"/>
  <c r="HF329" i="1" s="1"/>
  <c r="HF328" i="1" a="1"/>
  <c r="HF328" i="1" s="1"/>
  <c r="HF327" i="1" a="1"/>
  <c r="HF327" i="1" s="1"/>
  <c r="HF326" i="1" a="1"/>
  <c r="HF326" i="1" s="1"/>
  <c r="HF325" i="1" a="1"/>
  <c r="HF325" i="1" s="1"/>
  <c r="HF303" i="1" a="1"/>
  <c r="HF303" i="1" s="1"/>
  <c r="HF302" i="1" a="1"/>
  <c r="HF302" i="1" s="1"/>
  <c r="HF301" i="1" a="1"/>
  <c r="HF301" i="1" s="1"/>
  <c r="HF300" i="1" a="1"/>
  <c r="HF300" i="1" s="1"/>
  <c r="HF299" i="1" a="1"/>
  <c r="HF299" i="1" s="1"/>
  <c r="HF298" i="1" a="1"/>
  <c r="HF298" i="1" s="1"/>
  <c r="HF297" i="1" a="1"/>
  <c r="HF297" i="1" s="1"/>
  <c r="HF296" i="1" a="1"/>
  <c r="HF296" i="1" s="1"/>
  <c r="HF295" i="1" a="1"/>
  <c r="HF295" i="1" s="1"/>
  <c r="HF294" i="1" a="1"/>
  <c r="HF294" i="1" s="1"/>
  <c r="HF293" i="1" a="1"/>
  <c r="HF293" i="1" s="1"/>
  <c r="HF292" i="1" a="1"/>
  <c r="HF292" i="1" s="1"/>
  <c r="HF291" i="1" a="1"/>
  <c r="HF291" i="1" s="1"/>
  <c r="HF290" i="1" a="1"/>
  <c r="HF290" i="1" s="1"/>
  <c r="HF265" i="1" a="1"/>
  <c r="HF265" i="1" s="1"/>
  <c r="HF264" i="1" a="1"/>
  <c r="HF264" i="1" s="1"/>
  <c r="HF263" i="1" a="1"/>
  <c r="HF263" i="1" s="1"/>
  <c r="HF262" i="1" a="1"/>
  <c r="HF262" i="1" s="1"/>
  <c r="HF261" i="1" a="1"/>
  <c r="HF261" i="1" s="1"/>
  <c r="HF260" i="1" a="1"/>
  <c r="HF260" i="1" s="1"/>
  <c r="HF259" i="1" a="1"/>
  <c r="HF259" i="1" s="1"/>
  <c r="HF258" i="1" a="1"/>
  <c r="HF258" i="1" s="1"/>
  <c r="HF257" i="1" a="1"/>
  <c r="HF257" i="1" s="1"/>
  <c r="HF256" i="1" a="1"/>
  <c r="HF256" i="1" s="1"/>
  <c r="HF227" i="1" a="1"/>
  <c r="HF227" i="1" s="1"/>
  <c r="HF226" i="1" a="1"/>
  <c r="HF226" i="1" s="1"/>
  <c r="HF225" i="1" a="1"/>
  <c r="HF225" i="1" s="1"/>
  <c r="HF224" i="1" a="1"/>
  <c r="HF224" i="1" s="1"/>
  <c r="HF223" i="1" a="1"/>
  <c r="HF223" i="1" s="1"/>
  <c r="HF222" i="1" a="1"/>
  <c r="HF222" i="1" s="1"/>
  <c r="HF221" i="1" a="1"/>
  <c r="HF221" i="1" s="1"/>
  <c r="HF220" i="1" a="1"/>
  <c r="HF220" i="1" s="1"/>
  <c r="HF219" i="1" a="1"/>
  <c r="HF219" i="1" s="1"/>
  <c r="HF189" i="1" a="1"/>
  <c r="HF189" i="1" s="1"/>
  <c r="HF188" i="1" a="1"/>
  <c r="HF188" i="1" s="1"/>
  <c r="HF187" i="1" a="1"/>
  <c r="HF187" i="1" s="1"/>
  <c r="HF186" i="1" a="1"/>
  <c r="HF186" i="1" s="1"/>
  <c r="HF185" i="1" a="1"/>
  <c r="HF185" i="1" s="1"/>
  <c r="HF184" i="1" a="1"/>
  <c r="HF184" i="1" s="1"/>
  <c r="HF183" i="1" a="1"/>
  <c r="HF183" i="1" s="1"/>
  <c r="HF182" i="1" a="1"/>
  <c r="HF182" i="1" s="1"/>
  <c r="HF181" i="1" a="1"/>
  <c r="HF181" i="1" s="1"/>
  <c r="HF180" i="1" a="1"/>
  <c r="HF180" i="1" s="1"/>
  <c r="HF151" i="1" a="1"/>
  <c r="HF151" i="1" s="1"/>
  <c r="HF150" i="1" a="1"/>
  <c r="HF150" i="1" s="1"/>
  <c r="HF149" i="1" a="1"/>
  <c r="HF149" i="1" s="1"/>
  <c r="HF148" i="1" a="1"/>
  <c r="HF148" i="1" s="1"/>
  <c r="HF147" i="1" a="1"/>
  <c r="HF147" i="1" s="1"/>
  <c r="HF146" i="1" a="1"/>
  <c r="HF146" i="1" s="1"/>
  <c r="HF145" i="1" a="1"/>
  <c r="HF145" i="1" s="1"/>
  <c r="HF144" i="1" a="1"/>
  <c r="HF144" i="1" s="1"/>
  <c r="HF113" i="1" a="1"/>
  <c r="HF113" i="1" s="1"/>
  <c r="HF112" i="1" a="1"/>
  <c r="HF112" i="1" s="1"/>
  <c r="HF111" i="1" a="1"/>
  <c r="HF111" i="1" s="1"/>
  <c r="HF110" i="1" a="1"/>
  <c r="HF110" i="1" s="1"/>
  <c r="HF109" i="1" a="1"/>
  <c r="HF109" i="1" s="1"/>
  <c r="HF108" i="1" a="1"/>
  <c r="HF108" i="1" s="1"/>
  <c r="HF107" i="1" a="1"/>
  <c r="HF107" i="1" s="1"/>
  <c r="HF76" i="1" a="1"/>
  <c r="HF76" i="1" s="1"/>
  <c r="HF75" i="1" a="1"/>
  <c r="HF75" i="1" s="1"/>
  <c r="HF74" i="1" a="1"/>
  <c r="HF74" i="1" s="1"/>
  <c r="HF73" i="1" a="1"/>
  <c r="HF73" i="1" s="1"/>
  <c r="AB10" i="2" l="1"/>
  <c r="AB11" i="2"/>
  <c r="AD3" i="2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HF40" i="1" a="1"/>
  <c r="HF40" i="1" s="1"/>
  <c r="HL3" i="1"/>
  <c r="AB12" i="2" l="1"/>
  <c r="HG40" i="1"/>
  <c r="HG76" i="1" s="1"/>
  <c r="AA3" i="2" l="1" a="1"/>
  <c r="HG113" i="1"/>
  <c r="HL76" i="1"/>
  <c r="AF36" i="1"/>
  <c r="AJ36" i="1" s="1"/>
  <c r="AN36" i="1" s="1"/>
  <c r="AR36" i="1" s="1"/>
  <c r="AV36" i="1" s="1"/>
  <c r="AZ36" i="1" s="1"/>
  <c r="BD36" i="1" s="1"/>
  <c r="BH36" i="1" s="1"/>
  <c r="BL36" i="1" s="1"/>
  <c r="BP36" i="1" s="1"/>
  <c r="BT36" i="1" s="1"/>
  <c r="T30" i="1"/>
  <c r="X30" i="1" s="1"/>
  <c r="AF30" i="1" s="1"/>
  <c r="AR30" i="1" s="1"/>
  <c r="AV30" i="1" s="1"/>
  <c r="AZ30" i="1" s="1"/>
  <c r="BD30" i="1" s="1"/>
  <c r="BH30" i="1" s="1"/>
  <c r="BL30" i="1" s="1"/>
  <c r="BP30" i="1" s="1"/>
  <c r="BT30" i="1" s="1"/>
  <c r="S30" i="1"/>
  <c r="W30" i="1" s="1"/>
  <c r="AA30" i="1" s="1"/>
  <c r="AE30" i="1" s="1"/>
  <c r="AI30" i="1" s="1"/>
  <c r="AM30" i="1" s="1"/>
  <c r="AQ30" i="1" s="1"/>
  <c r="AU30" i="1" s="1"/>
  <c r="AY30" i="1" s="1"/>
  <c r="BC30" i="1" s="1"/>
  <c r="BG30" i="1" s="1"/>
  <c r="BK30" i="1" s="1"/>
  <c r="BO30" i="1" s="1"/>
  <c r="BS30" i="1" s="1"/>
  <c r="T31" i="1"/>
  <c r="AF31" i="1" s="1"/>
  <c r="AJ31" i="1" s="1"/>
  <c r="AN31" i="1" s="1"/>
  <c r="AR31" i="1" s="1"/>
  <c r="AV31" i="1" s="1"/>
  <c r="AZ31" i="1" s="1"/>
  <c r="BD31" i="1" s="1"/>
  <c r="BH31" i="1" s="1"/>
  <c r="BL31" i="1" s="1"/>
  <c r="BP31" i="1" s="1"/>
  <c r="BT31" i="1" s="1"/>
  <c r="S31" i="1"/>
  <c r="W31" i="1" s="1"/>
  <c r="AA31" i="1" s="1"/>
  <c r="AE31" i="1" s="1"/>
  <c r="AI31" i="1" s="1"/>
  <c r="AM31" i="1" s="1"/>
  <c r="AQ31" i="1" s="1"/>
  <c r="AU31" i="1" s="1"/>
  <c r="AY31" i="1" s="1"/>
  <c r="BC31" i="1" s="1"/>
  <c r="BG31" i="1" s="1"/>
  <c r="BK31" i="1" s="1"/>
  <c r="BO31" i="1" s="1"/>
  <c r="BS31" i="1" s="1"/>
  <c r="T37" i="1"/>
  <c r="X37" i="1" s="1"/>
  <c r="AB37" i="1" s="1"/>
  <c r="AJ37" i="1" s="1"/>
  <c r="AN37" i="1" s="1"/>
  <c r="AR37" i="1" s="1"/>
  <c r="AV37" i="1" s="1"/>
  <c r="AZ37" i="1" s="1"/>
  <c r="BD37" i="1" s="1"/>
  <c r="BH37" i="1" s="1"/>
  <c r="BL37" i="1" s="1"/>
  <c r="BP37" i="1" s="1"/>
  <c r="BT37" i="1" s="1"/>
  <c r="S37" i="1"/>
  <c r="W37" i="1" s="1"/>
  <c r="AA37" i="1" s="1"/>
  <c r="AE37" i="1" s="1"/>
  <c r="AQ37" i="1" s="1"/>
  <c r="AU37" i="1" s="1"/>
  <c r="AY37" i="1" s="1"/>
  <c r="BC37" i="1" s="1"/>
  <c r="BG37" i="1" s="1"/>
  <c r="BK37" i="1" s="1"/>
  <c r="BO37" i="1" s="1"/>
  <c r="BS37" i="1" s="1"/>
  <c r="T36" i="1"/>
  <c r="X36" i="1" s="1"/>
  <c r="S36" i="1"/>
  <c r="W36" i="1" s="1"/>
  <c r="AA36" i="1" s="1"/>
  <c r="AE36" i="1" s="1"/>
  <c r="AI36" i="1" s="1"/>
  <c r="AM36" i="1" s="1"/>
  <c r="AQ36" i="1" s="1"/>
  <c r="AU36" i="1" s="1"/>
  <c r="AY36" i="1" s="1"/>
  <c r="BC36" i="1" s="1"/>
  <c r="BG36" i="1" s="1"/>
  <c r="BK36" i="1" s="1"/>
  <c r="BO36" i="1" s="1"/>
  <c r="BS36" i="1" s="1"/>
  <c r="T34" i="1"/>
  <c r="X34" i="1" s="1"/>
  <c r="AB34" i="1" s="1"/>
  <c r="AF34" i="1" s="1"/>
  <c r="AJ34" i="1" s="1"/>
  <c r="AN34" i="1" s="1"/>
  <c r="AR34" i="1" s="1"/>
  <c r="AV34" i="1" s="1"/>
  <c r="AZ34" i="1" s="1"/>
  <c r="BD34" i="1" s="1"/>
  <c r="BH34" i="1" s="1"/>
  <c r="BL34" i="1" s="1"/>
  <c r="BP34" i="1" s="1"/>
  <c r="BT34" i="1" s="1"/>
  <c r="S34" i="1"/>
  <c r="W34" i="1" s="1"/>
  <c r="AA34" i="1" s="1"/>
  <c r="AE34" i="1" s="1"/>
  <c r="AI34" i="1" s="1"/>
  <c r="AM34" i="1" s="1"/>
  <c r="AQ34" i="1" s="1"/>
  <c r="AU34" i="1" s="1"/>
  <c r="AY34" i="1" s="1"/>
  <c r="BC34" i="1" s="1"/>
  <c r="BG34" i="1" s="1"/>
  <c r="BK34" i="1" s="1"/>
  <c r="BO34" i="1" s="1"/>
  <c r="BS34" i="1" s="1"/>
  <c r="T33" i="1"/>
  <c r="X33" i="1" s="1"/>
  <c r="AB33" i="1" s="1"/>
  <c r="AN33" i="1" s="1"/>
  <c r="AR33" i="1" s="1"/>
  <c r="AV33" i="1" s="1"/>
  <c r="AZ33" i="1" s="1"/>
  <c r="BD33" i="1" s="1"/>
  <c r="BH33" i="1" s="1"/>
  <c r="BL33" i="1" s="1"/>
  <c r="BP33" i="1" s="1"/>
  <c r="BT33" i="1" s="1"/>
  <c r="S33" i="1"/>
  <c r="W33" i="1" s="1"/>
  <c r="AA33" i="1" s="1"/>
  <c r="AM33" i="1" s="1"/>
  <c r="AQ33" i="1" s="1"/>
  <c r="AU33" i="1" s="1"/>
  <c r="AY33" i="1" s="1"/>
  <c r="BC33" i="1" s="1"/>
  <c r="BG33" i="1" s="1"/>
  <c r="BK33" i="1" s="1"/>
  <c r="BO33" i="1" s="1"/>
  <c r="BS33" i="1" s="1"/>
  <c r="AA3" i="2" l="1"/>
  <c r="AB3" i="2" s="1"/>
  <c r="AB6" i="2"/>
  <c r="AB5" i="2"/>
  <c r="AB4" i="2"/>
  <c r="HG151" i="1"/>
  <c r="HL113" i="1"/>
  <c r="X7" i="1"/>
  <c r="H106" i="1"/>
  <c r="AB7" i="2" l="1"/>
  <c r="AC3" i="2" s="1"/>
  <c r="HG189" i="1"/>
  <c r="HL151" i="1"/>
  <c r="I54" i="1"/>
  <c r="AC4" i="2" l="1"/>
  <c r="AC6" i="2"/>
  <c r="AC5" i="2"/>
  <c r="Y3" i="2"/>
  <c r="HL189" i="1"/>
  <c r="HG227" i="1"/>
  <c r="X31" i="1"/>
  <c r="Y7" i="1"/>
  <c r="T3" i="1"/>
  <c r="HL227" i="1" l="1"/>
  <c r="HG265" i="1"/>
  <c r="Q53" i="1"/>
  <c r="HG303" i="1" l="1"/>
  <c r="HL265" i="1"/>
  <c r="T7" i="1"/>
  <c r="HL303" i="1" l="1"/>
  <c r="HG341" i="1"/>
  <c r="P7" i="1"/>
  <c r="HG379" i="1" l="1"/>
  <c r="HL341" i="1"/>
  <c r="P3" i="1"/>
  <c r="FF5" i="1"/>
  <c r="FF6" i="1" s="1"/>
  <c r="FF7" i="1" s="1"/>
  <c r="FF8" i="1" s="1"/>
  <c r="FF9" i="1" s="1"/>
  <c r="FF10" i="1" s="1"/>
  <c r="FF11" i="1" s="1"/>
  <c r="FF12" i="1" s="1"/>
  <c r="FF13" i="1" s="1"/>
  <c r="FF14" i="1" s="1"/>
  <c r="FF15" i="1" s="1"/>
  <c r="FF16" i="1" s="1"/>
  <c r="FF17" i="1" s="1"/>
  <c r="FF18" i="1" s="1"/>
  <c r="FF19" i="1" s="1"/>
  <c r="FF20" i="1" s="1"/>
  <c r="FF21" i="1" s="1"/>
  <c r="FF22" i="1" s="1"/>
  <c r="FF23" i="1" s="1"/>
  <c r="FF24" i="1" s="1"/>
  <c r="FF25" i="1" s="1"/>
  <c r="FF26" i="1" s="1"/>
  <c r="FF27" i="1" s="1"/>
  <c r="FF28" i="1" s="1"/>
  <c r="FF29" i="1" s="1"/>
  <c r="FF30" i="1" s="1"/>
  <c r="FF31" i="1" s="1"/>
  <c r="FF32" i="1" s="1"/>
  <c r="FF33" i="1" s="1"/>
  <c r="FF34" i="1" s="1"/>
  <c r="FF35" i="1" s="1"/>
  <c r="FF36" i="1" s="1"/>
  <c r="FF37" i="1" s="1"/>
  <c r="FF43" i="1" s="1"/>
  <c r="FF44" i="1" s="1"/>
  <c r="FF45" i="1" s="1"/>
  <c r="FF46" i="1" s="1"/>
  <c r="FF47" i="1" s="1"/>
  <c r="FF48" i="1" s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70" i="1"/>
  <c r="G71" i="1"/>
  <c r="S27" i="1"/>
  <c r="W27" i="1" s="1"/>
  <c r="AE27" i="1" s="1"/>
  <c r="AQ27" i="1" s="1"/>
  <c r="AU27" i="1" s="1"/>
  <c r="AY27" i="1" s="1"/>
  <c r="BC27" i="1" s="1"/>
  <c r="BG27" i="1" s="1"/>
  <c r="BK27" i="1" s="1"/>
  <c r="BO27" i="1" s="1"/>
  <c r="BS27" i="1" s="1"/>
  <c r="S26" i="1"/>
  <c r="W26" i="1" s="1"/>
  <c r="AE26" i="1" s="1"/>
  <c r="AQ26" i="1" s="1"/>
  <c r="AU26" i="1" s="1"/>
  <c r="AY26" i="1" s="1"/>
  <c r="BC26" i="1" s="1"/>
  <c r="BG26" i="1" s="1"/>
  <c r="BK26" i="1" s="1"/>
  <c r="BO26" i="1" s="1"/>
  <c r="BS26" i="1" s="1"/>
  <c r="S25" i="1"/>
  <c r="W25" i="1" s="1"/>
  <c r="AE25" i="1" s="1"/>
  <c r="AQ25" i="1" s="1"/>
  <c r="AU25" i="1" s="1"/>
  <c r="AY25" i="1" s="1"/>
  <c r="BC25" i="1" s="1"/>
  <c r="BG25" i="1" s="1"/>
  <c r="BK25" i="1" s="1"/>
  <c r="BO25" i="1" s="1"/>
  <c r="BS25" i="1" s="1"/>
  <c r="S24" i="1"/>
  <c r="AE24" i="1" s="1"/>
  <c r="AI24" i="1" s="1"/>
  <c r="AQ24" i="1" s="1"/>
  <c r="AU24" i="1" s="1"/>
  <c r="AY24" i="1" s="1"/>
  <c r="BC24" i="1" s="1"/>
  <c r="BG24" i="1" s="1"/>
  <c r="BK24" i="1" s="1"/>
  <c r="BO24" i="1" s="1"/>
  <c r="BS24" i="1" s="1"/>
  <c r="S23" i="1"/>
  <c r="W23" i="1" s="1"/>
  <c r="AE23" i="1" s="1"/>
  <c r="AI23" i="1" s="1"/>
  <c r="AU23" i="1" s="1"/>
  <c r="AY23" i="1" s="1"/>
  <c r="BC23" i="1" s="1"/>
  <c r="BG23" i="1" s="1"/>
  <c r="BK23" i="1" s="1"/>
  <c r="BO23" i="1" s="1"/>
  <c r="BS23" i="1" s="1"/>
  <c r="S22" i="1"/>
  <c r="W22" i="1" s="1"/>
  <c r="AA22" i="1" s="1"/>
  <c r="S21" i="1"/>
  <c r="W21" i="1" s="1"/>
  <c r="S20" i="1"/>
  <c r="W20" i="1" s="1"/>
  <c r="AA20" i="1" s="1"/>
  <c r="AE20" i="1" s="1"/>
  <c r="AI20" i="1" s="1"/>
  <c r="AM20" i="1" s="1"/>
  <c r="AQ20" i="1" s="1"/>
  <c r="AU20" i="1" s="1"/>
  <c r="AY20" i="1" s="1"/>
  <c r="BC20" i="1" s="1"/>
  <c r="BG20" i="1" s="1"/>
  <c r="BK20" i="1" s="1"/>
  <c r="BO20" i="1" s="1"/>
  <c r="BS20" i="1" s="1"/>
  <c r="S19" i="1"/>
  <c r="W19" i="1" s="1"/>
  <c r="AA19" i="1" s="1"/>
  <c r="AE19" i="1" s="1"/>
  <c r="AI19" i="1" s="1"/>
  <c r="AM19" i="1" s="1"/>
  <c r="AQ19" i="1" s="1"/>
  <c r="AU19" i="1" s="1"/>
  <c r="AY19" i="1" s="1"/>
  <c r="BC19" i="1" s="1"/>
  <c r="BG19" i="1" s="1"/>
  <c r="BK19" i="1" s="1"/>
  <c r="BO19" i="1" s="1"/>
  <c r="BS19" i="1" s="1"/>
  <c r="S18" i="1"/>
  <c r="W18" i="1" s="1"/>
  <c r="AA18" i="1" s="1"/>
  <c r="AE18" i="1" s="1"/>
  <c r="AI18" i="1" s="1"/>
  <c r="AM18" i="1" s="1"/>
  <c r="AQ18" i="1" s="1"/>
  <c r="AU18" i="1" s="1"/>
  <c r="AY18" i="1" s="1"/>
  <c r="BC18" i="1" s="1"/>
  <c r="BG18" i="1" s="1"/>
  <c r="BK18" i="1" s="1"/>
  <c r="BO18" i="1" s="1"/>
  <c r="BS18" i="1" s="1"/>
  <c r="S17" i="1"/>
  <c r="W17" i="1" s="1"/>
  <c r="AA17" i="1" s="1"/>
  <c r="AE17" i="1" s="1"/>
  <c r="AI17" i="1" s="1"/>
  <c r="AM17" i="1" s="1"/>
  <c r="AQ17" i="1" s="1"/>
  <c r="AU17" i="1" s="1"/>
  <c r="AY17" i="1" s="1"/>
  <c r="BC17" i="1" s="1"/>
  <c r="BG17" i="1" s="1"/>
  <c r="BK17" i="1" s="1"/>
  <c r="BO17" i="1" s="1"/>
  <c r="BS17" i="1" s="1"/>
  <c r="S16" i="1"/>
  <c r="W16" i="1" s="1"/>
  <c r="AA16" i="1" s="1"/>
  <c r="AE16" i="1" s="1"/>
  <c r="AI16" i="1" s="1"/>
  <c r="AM16" i="1" s="1"/>
  <c r="AQ16" i="1" s="1"/>
  <c r="AU16" i="1" s="1"/>
  <c r="AY16" i="1" s="1"/>
  <c r="BC16" i="1" s="1"/>
  <c r="BG16" i="1" s="1"/>
  <c r="BK16" i="1" s="1"/>
  <c r="BO16" i="1" s="1"/>
  <c r="BS16" i="1" s="1"/>
  <c r="S15" i="1"/>
  <c r="W15" i="1" s="1"/>
  <c r="AA15" i="1" s="1"/>
  <c r="AE15" i="1" s="1"/>
  <c r="AI15" i="1" s="1"/>
  <c r="AM15" i="1" s="1"/>
  <c r="AQ15" i="1" s="1"/>
  <c r="AU15" i="1" s="1"/>
  <c r="S14" i="1"/>
  <c r="W14" i="1" s="1"/>
  <c r="AA14" i="1" s="1"/>
  <c r="AE14" i="1" s="1"/>
  <c r="AI14" i="1" s="1"/>
  <c r="AM14" i="1" s="1"/>
  <c r="AQ14" i="1" s="1"/>
  <c r="AU14" i="1" s="1"/>
  <c r="S13" i="1"/>
  <c r="W13" i="1" s="1"/>
  <c r="AE13" i="1" s="1"/>
  <c r="AI13" i="1" s="1"/>
  <c r="AM13" i="1" s="1"/>
  <c r="AQ13" i="1" s="1"/>
  <c r="AU13" i="1" s="1"/>
  <c r="AY13" i="1" s="1"/>
  <c r="BC13" i="1" s="1"/>
  <c r="BG13" i="1" s="1"/>
  <c r="BK13" i="1" s="1"/>
  <c r="BO13" i="1" s="1"/>
  <c r="BS13" i="1" s="1"/>
  <c r="BW13" i="1" s="1"/>
  <c r="CA13" i="1" s="1"/>
  <c r="CE13" i="1" s="1"/>
  <c r="S12" i="1"/>
  <c r="W12" i="1" s="1"/>
  <c r="AA12" i="1" s="1"/>
  <c r="AE12" i="1" s="1"/>
  <c r="AI12" i="1" s="1"/>
  <c r="AM12" i="1" s="1"/>
  <c r="AQ12" i="1" s="1"/>
  <c r="AU12" i="1" s="1"/>
  <c r="AY12" i="1" s="1"/>
  <c r="BC12" i="1" s="1"/>
  <c r="BG12" i="1" s="1"/>
  <c r="BK12" i="1" s="1"/>
  <c r="S11" i="1"/>
  <c r="W11" i="1" s="1"/>
  <c r="AA11" i="1" s="1"/>
  <c r="AE11" i="1" s="1"/>
  <c r="AI11" i="1" s="1"/>
  <c r="AM11" i="1" s="1"/>
  <c r="AQ11" i="1" s="1"/>
  <c r="AU11" i="1" s="1"/>
  <c r="AY11" i="1" s="1"/>
  <c r="BC11" i="1" s="1"/>
  <c r="BG11" i="1" s="1"/>
  <c r="BK11" i="1" s="1"/>
  <c r="BO11" i="1" s="1"/>
  <c r="BS11" i="1" s="1"/>
  <c r="BW11" i="1" s="1"/>
  <c r="CA11" i="1" s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X29" i="1"/>
  <c r="AJ29" i="1" s="1"/>
  <c r="AR29" i="1" s="1"/>
  <c r="AV29" i="1" s="1"/>
  <c r="AZ29" i="1" s="1"/>
  <c r="BD29" i="1" s="1"/>
  <c r="BH29" i="1" s="1"/>
  <c r="BL29" i="1" s="1"/>
  <c r="HL379" i="1" l="1"/>
  <c r="HG417" i="1"/>
  <c r="P24" i="1"/>
  <c r="X9" i="1"/>
  <c r="AB9" i="1" s="1"/>
  <c r="HL417" i="1" l="1"/>
  <c r="X28" i="1"/>
  <c r="T22" i="1"/>
  <c r="X22" i="1" s="1"/>
  <c r="AB22" i="1" s="1"/>
  <c r="T20" i="1"/>
  <c r="AB20" i="1" s="1"/>
  <c r="T19" i="1"/>
  <c r="AB19" i="1" s="1"/>
  <c r="AF19" i="1" s="1"/>
  <c r="AJ19" i="1" s="1"/>
  <c r="AR19" i="1" s="1"/>
  <c r="AV19" i="1" s="1"/>
  <c r="AZ19" i="1" s="1"/>
  <c r="BD19" i="1" s="1"/>
  <c r="BH19" i="1" s="1"/>
  <c r="BL19" i="1" s="1"/>
  <c r="BP19" i="1" s="1"/>
  <c r="BT19" i="1" s="1"/>
  <c r="T18" i="1"/>
  <c r="X18" i="1" s="1"/>
  <c r="AR18" i="1" s="1"/>
  <c r="AV18" i="1" s="1"/>
  <c r="AZ18" i="1" s="1"/>
  <c r="BD18" i="1" s="1"/>
  <c r="BH18" i="1" s="1"/>
  <c r="BL18" i="1" s="1"/>
  <c r="BP18" i="1" s="1"/>
  <c r="BT18" i="1" s="1"/>
  <c r="T17" i="1"/>
  <c r="X17" i="1" s="1"/>
  <c r="AB17" i="1" s="1"/>
  <c r="AJ17" i="1" s="1"/>
  <c r="AN17" i="1" s="1"/>
  <c r="AR17" i="1" s="1"/>
  <c r="AV17" i="1" s="1"/>
  <c r="AZ17" i="1" s="1"/>
  <c r="BD17" i="1" s="1"/>
  <c r="BH17" i="1" s="1"/>
  <c r="BL17" i="1" s="1"/>
  <c r="BP17" i="1" s="1"/>
  <c r="BT17" i="1" s="1"/>
  <c r="T16" i="1"/>
  <c r="X16" i="1" s="1"/>
  <c r="AF16" i="1" s="1"/>
  <c r="AJ16" i="1" s="1"/>
  <c r="AN16" i="1" s="1"/>
  <c r="AR16" i="1" s="1"/>
  <c r="AV16" i="1" s="1"/>
  <c r="AZ16" i="1" s="1"/>
  <c r="BD16" i="1" s="1"/>
  <c r="BH16" i="1" s="1"/>
  <c r="BL16" i="1" s="1"/>
  <c r="BP16" i="1" s="1"/>
  <c r="BT16" i="1" s="1"/>
  <c r="T15" i="1"/>
  <c r="X15" i="1" s="1"/>
  <c r="AB15" i="1" s="1"/>
  <c r="AF15" i="1" s="1"/>
  <c r="AJ15" i="1" s="1"/>
  <c r="AN15" i="1" s="1"/>
  <c r="AR15" i="1" s="1"/>
  <c r="AV15" i="1" s="1"/>
  <c r="T14" i="1"/>
  <c r="X14" i="1" s="1"/>
  <c r="AB14" i="1" s="1"/>
  <c r="AF14" i="1" s="1"/>
  <c r="AJ14" i="1" s="1"/>
  <c r="AN14" i="1" s="1"/>
  <c r="AR14" i="1" s="1"/>
  <c r="AV14" i="1" s="1"/>
  <c r="X13" i="1"/>
  <c r="AJ13" i="1" s="1"/>
  <c r="AR13" i="1" s="1"/>
  <c r="AV13" i="1" s="1"/>
  <c r="AZ13" i="1" s="1"/>
  <c r="BD13" i="1" s="1"/>
  <c r="BH13" i="1" s="1"/>
  <c r="BL13" i="1" s="1"/>
  <c r="BP13" i="1" s="1"/>
  <c r="BT13" i="1" s="1"/>
  <c r="BX13" i="1" s="1"/>
  <c r="CB13" i="1" s="1"/>
  <c r="CF13" i="1" s="1"/>
  <c r="T12" i="1"/>
  <c r="X12" i="1" s="1"/>
  <c r="AJ12" i="1" s="1"/>
  <c r="AN12" i="1" s="1"/>
  <c r="AR12" i="1" s="1"/>
  <c r="AV12" i="1" s="1"/>
  <c r="AZ12" i="1" s="1"/>
  <c r="BD12" i="1" s="1"/>
  <c r="BH12" i="1" s="1"/>
  <c r="BL12" i="1" s="1"/>
  <c r="X11" i="1"/>
  <c r="AF11" i="1" s="1"/>
  <c r="AJ11" i="1" s="1"/>
  <c r="AN11" i="1" s="1"/>
  <c r="AV11" i="1" s="1"/>
  <c r="T27" i="1"/>
  <c r="X27" i="1" s="1"/>
  <c r="AF27" i="1" s="1"/>
  <c r="AR27" i="1" s="1"/>
  <c r="AV27" i="1" s="1"/>
  <c r="AZ27" i="1" s="1"/>
  <c r="BD27" i="1" s="1"/>
  <c r="BH27" i="1" s="1"/>
  <c r="BL27" i="1" s="1"/>
  <c r="BP27" i="1" s="1"/>
  <c r="BT27" i="1" s="1"/>
  <c r="T26" i="1"/>
  <c r="X26" i="1" s="1"/>
  <c r="AF26" i="1" s="1"/>
  <c r="AR26" i="1" s="1"/>
  <c r="AV26" i="1" s="1"/>
  <c r="AZ26" i="1" s="1"/>
  <c r="BD26" i="1" s="1"/>
  <c r="BH26" i="1" s="1"/>
  <c r="BL26" i="1" s="1"/>
  <c r="BP26" i="1" s="1"/>
  <c r="BT26" i="1" s="1"/>
  <c r="T25" i="1"/>
  <c r="X25" i="1" s="1"/>
  <c r="AF25" i="1" s="1"/>
  <c r="AR25" i="1" s="1"/>
  <c r="AV25" i="1" s="1"/>
  <c r="AZ25" i="1" s="1"/>
  <c r="BD25" i="1" s="1"/>
  <c r="BH25" i="1" s="1"/>
  <c r="BL25" i="1" s="1"/>
  <c r="BP25" i="1" s="1"/>
  <c r="BT25" i="1" s="1"/>
  <c r="T24" i="1"/>
  <c r="AJ24" i="1" s="1"/>
  <c r="AR24" i="1" s="1"/>
  <c r="AV24" i="1" s="1"/>
  <c r="AZ24" i="1" s="1"/>
  <c r="BD24" i="1" s="1"/>
  <c r="BH24" i="1" s="1"/>
  <c r="BL24" i="1" s="1"/>
  <c r="BP24" i="1" s="1"/>
  <c r="BT24" i="1" s="1"/>
  <c r="T23" i="1"/>
  <c r="X23" i="1" s="1"/>
  <c r="AN23" i="1" s="1"/>
  <c r="AV23" i="1" s="1"/>
  <c r="AZ23" i="1" s="1"/>
  <c r="BD23" i="1" s="1"/>
  <c r="BH23" i="1" s="1"/>
  <c r="BL23" i="1" s="1"/>
  <c r="BP23" i="1" s="1"/>
  <c r="BT23" i="1" s="1"/>
  <c r="AR20" i="1" l="1"/>
  <c r="AN44" i="1"/>
  <c r="AF44" i="1"/>
  <c r="AR9" i="1"/>
  <c r="AV9" i="1" s="1"/>
  <c r="AJ44" i="1"/>
  <c r="P5" i="1"/>
  <c r="AV20" i="1" l="1"/>
  <c r="AZ20" i="1" s="1"/>
  <c r="BD20" i="1" s="1"/>
  <c r="BH20" i="1" s="1"/>
  <c r="BL20" i="1" s="1"/>
  <c r="BP20" i="1" s="1"/>
  <c r="BT20" i="1" s="1"/>
  <c r="AR44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P21" i="1"/>
  <c r="T21" i="1" s="1"/>
  <c r="H31" i="1" l="1"/>
  <c r="H32" i="1" s="1"/>
  <c r="H33" i="1" s="1"/>
  <c r="T44" i="1"/>
  <c r="X44" i="1"/>
  <c r="AB44" i="1"/>
  <c r="P44" i="1"/>
  <c r="T2" i="1"/>
  <c r="X2" i="1" l="1"/>
  <c r="AB2" i="1" s="1"/>
  <c r="AF2" i="1" s="1"/>
  <c r="AJ2" i="1" s="1"/>
  <c r="AN2" i="1" s="1"/>
  <c r="AR2" i="1" s="1"/>
  <c r="AV2" i="1" s="1"/>
  <c r="AZ2" i="1" s="1"/>
  <c r="BD2" i="1" s="1"/>
  <c r="BH2" i="1" s="1"/>
  <c r="BL2" i="1" s="1"/>
  <c r="BP2" i="1" s="1"/>
  <c r="BT2" i="1" s="1"/>
  <c r="BX2" i="1" s="1"/>
  <c r="CB2" i="1" s="1"/>
  <c r="CF2" i="1" s="1"/>
  <c r="CJ2" i="1" s="1"/>
  <c r="A4" i="1" a="1"/>
  <c r="H34" i="1"/>
  <c r="HG418" i="1" l="1" a="1"/>
  <c r="HG418" i="1" s="1"/>
  <c r="HL418" i="1" s="1"/>
  <c r="HL419" i="1" s="1"/>
  <c r="HL420" i="1" s="1"/>
  <c r="HL421" i="1" s="1"/>
  <c r="HL422" i="1" s="1"/>
  <c r="HL423" i="1" s="1"/>
  <c r="HL424" i="1" s="1"/>
  <c r="HL425" i="1" s="1"/>
  <c r="HL426" i="1" s="1"/>
  <c r="HL427" i="1" s="1"/>
  <c r="HL428" i="1" s="1"/>
  <c r="HL429" i="1" s="1"/>
  <c r="HL430" i="1" s="1"/>
  <c r="HL431" i="1" s="1"/>
  <c r="HL432" i="1" s="1"/>
  <c r="HL433" i="1" s="1"/>
  <c r="HL434" i="1" s="1"/>
  <c r="HL435" i="1" s="1"/>
  <c r="HL436" i="1" s="1"/>
  <c r="HL437" i="1" s="1"/>
  <c r="HL438" i="1" s="1"/>
  <c r="HL439" i="1" s="1"/>
  <c r="HL440" i="1" s="1"/>
  <c r="HL441" i="1" s="1"/>
  <c r="HL442" i="1" s="1"/>
  <c r="HL443" i="1" s="1"/>
  <c r="HL444" i="1" s="1"/>
  <c r="HL445" i="1" s="1"/>
  <c r="HL446" i="1" s="1"/>
  <c r="HL447" i="1" s="1"/>
  <c r="HL448" i="1" s="1"/>
  <c r="HL449" i="1" s="1"/>
  <c r="HL450" i="1" s="1"/>
  <c r="HL451" i="1" s="1"/>
  <c r="HL452" i="1" s="1"/>
  <c r="HL453" i="1" s="1"/>
  <c r="HL454" i="1" s="1"/>
  <c r="HL455" i="1" s="1"/>
  <c r="HL456" i="1" s="1"/>
  <c r="HL457" i="1" s="1"/>
  <c r="HL458" i="1" s="1"/>
  <c r="HL459" i="1" s="1"/>
  <c r="HL460" i="1" s="1"/>
  <c r="HL461" i="1" s="1"/>
  <c r="HL462" i="1" s="1"/>
  <c r="HL463" i="1" s="1"/>
  <c r="HL464" i="1" s="1"/>
  <c r="HL465" i="1" s="1"/>
  <c r="HL466" i="1" s="1"/>
  <c r="HL467" i="1" s="1"/>
  <c r="HL468" i="1" s="1"/>
  <c r="HL469" i="1" s="1"/>
  <c r="HL470" i="1" s="1"/>
  <c r="HL471" i="1" s="1"/>
  <c r="HL472" i="1" s="1"/>
  <c r="HL473" i="1" s="1"/>
  <c r="HL474" i="1" s="1"/>
  <c r="HL475" i="1" s="1"/>
  <c r="HL476" i="1" s="1"/>
  <c r="HL477" i="1" s="1"/>
  <c r="HL478" i="1" s="1"/>
  <c r="HL479" i="1" s="1"/>
  <c r="HL480" i="1" s="1"/>
  <c r="HL481" i="1" s="1"/>
  <c r="HL482" i="1" s="1"/>
  <c r="HL483" i="1" s="1"/>
  <c r="HL484" i="1" s="1"/>
  <c r="HL485" i="1" s="1"/>
  <c r="HL486" i="1" s="1"/>
  <c r="HL487" i="1" s="1"/>
  <c r="HL488" i="1" s="1"/>
  <c r="HL489" i="1" s="1"/>
  <c r="HL490" i="1" s="1"/>
  <c r="HL491" i="1" s="1"/>
  <c r="HL492" i="1" s="1"/>
  <c r="HL493" i="1" s="1"/>
  <c r="HL494" i="1" s="1"/>
  <c r="HL495" i="1" s="1"/>
  <c r="HL496" i="1" s="1"/>
  <c r="HL497" i="1" s="1"/>
  <c r="HL498" i="1" s="1"/>
  <c r="HL499" i="1" s="1"/>
  <c r="HL500" i="1" s="1"/>
  <c r="HL501" i="1" s="1"/>
  <c r="HL502" i="1" s="1"/>
  <c r="HL503" i="1" s="1"/>
  <c r="HL504" i="1" s="1"/>
  <c r="HL505" i="1" s="1"/>
  <c r="HL506" i="1" s="1"/>
  <c r="HL507" i="1" s="1"/>
  <c r="HL508" i="1" s="1"/>
  <c r="HL509" i="1" s="1"/>
  <c r="HL510" i="1" s="1"/>
  <c r="HL511" i="1" s="1"/>
  <c r="HL512" i="1" s="1"/>
  <c r="HL513" i="1" s="1"/>
  <c r="HL514" i="1" s="1"/>
  <c r="HL515" i="1" s="1"/>
  <c r="HL516" i="1" s="1"/>
  <c r="HL517" i="1" s="1"/>
  <c r="HG304" i="1" a="1"/>
  <c r="HG228" i="1" a="1"/>
  <c r="HG114" i="1" a="1"/>
  <c r="HG380" i="1" a="1"/>
  <c r="HG380" i="1" s="1"/>
  <c r="HL380" i="1" s="1"/>
  <c r="HL381" i="1" s="1"/>
  <c r="HL382" i="1" s="1"/>
  <c r="HL383" i="1" s="1"/>
  <c r="HL384" i="1" s="1"/>
  <c r="HL385" i="1" s="1"/>
  <c r="HL386" i="1" s="1"/>
  <c r="HL387" i="1" s="1"/>
  <c r="HL388" i="1" s="1"/>
  <c r="HL389" i="1" s="1"/>
  <c r="HL390" i="1" s="1"/>
  <c r="HL391" i="1" s="1"/>
  <c r="HL392" i="1" s="1"/>
  <c r="HL393" i="1" s="1"/>
  <c r="HL394" i="1" s="1"/>
  <c r="HL395" i="1" s="1"/>
  <c r="HL396" i="1" s="1"/>
  <c r="HL397" i="1" s="1"/>
  <c r="HL398" i="1" s="1"/>
  <c r="HL399" i="1" s="1"/>
  <c r="HL400" i="1" s="1"/>
  <c r="HL401" i="1" s="1"/>
  <c r="HL402" i="1" s="1"/>
  <c r="HL403" i="1" s="1"/>
  <c r="HL404" i="1" s="1"/>
  <c r="HL405" i="1" s="1"/>
  <c r="HL406" i="1" s="1"/>
  <c r="HL407" i="1" s="1"/>
  <c r="HL408" i="1" s="1"/>
  <c r="HL409" i="1" s="1"/>
  <c r="HL410" i="1" s="1"/>
  <c r="HL411" i="1" s="1"/>
  <c r="HL412" i="1" s="1"/>
  <c r="HL413" i="1" s="1"/>
  <c r="HL414" i="1" s="1"/>
  <c r="HL415" i="1" s="1"/>
  <c r="HL416" i="1" s="1"/>
  <c r="HG342" i="1" a="1"/>
  <c r="HG342" i="1" s="1"/>
  <c r="HL342" i="1" s="1"/>
  <c r="HL343" i="1" s="1"/>
  <c r="HL344" i="1" s="1"/>
  <c r="HL345" i="1" s="1"/>
  <c r="HL346" i="1" s="1"/>
  <c r="HL347" i="1" s="1"/>
  <c r="HL348" i="1" s="1"/>
  <c r="HL349" i="1" s="1"/>
  <c r="HL350" i="1" s="1"/>
  <c r="HL351" i="1" s="1"/>
  <c r="HL352" i="1" s="1"/>
  <c r="HL353" i="1" s="1"/>
  <c r="HL354" i="1" s="1"/>
  <c r="HL355" i="1" s="1"/>
  <c r="HL356" i="1" s="1"/>
  <c r="HL357" i="1" s="1"/>
  <c r="HL358" i="1" s="1"/>
  <c r="HL359" i="1" s="1"/>
  <c r="HL360" i="1" s="1"/>
  <c r="HL361" i="1" s="1"/>
  <c r="HL362" i="1" s="1"/>
  <c r="HL363" i="1" s="1"/>
  <c r="HL364" i="1" s="1"/>
  <c r="HL365" i="1" s="1"/>
  <c r="HL366" i="1" s="1"/>
  <c r="HL367" i="1" s="1"/>
  <c r="HL368" i="1" s="1"/>
  <c r="HL369" i="1" s="1"/>
  <c r="HL370" i="1" s="1"/>
  <c r="HL371" i="1" s="1"/>
  <c r="HL372" i="1" s="1"/>
  <c r="HL373" i="1" s="1"/>
  <c r="HL374" i="1" s="1"/>
  <c r="HL375" i="1" s="1"/>
  <c r="HL376" i="1" s="1"/>
  <c r="HL377" i="1" s="1"/>
  <c r="HL378" i="1" s="1"/>
  <c r="HG266" i="1" a="1"/>
  <c r="HG190" i="1" a="1"/>
  <c r="HG152" i="1" a="1"/>
  <c r="HG77" i="1" a="1"/>
  <c r="HG4" i="1" a="1"/>
  <c r="HG41" i="1" a="1"/>
  <c r="D1" i="1"/>
  <c r="I57" i="1"/>
  <c r="I59" i="1" s="1"/>
  <c r="I61" i="1" s="1"/>
  <c r="G18" i="1"/>
  <c r="G32" i="1"/>
  <c r="G6" i="1"/>
  <c r="G34" i="1"/>
  <c r="G7" i="1"/>
  <c r="G8" i="1"/>
  <c r="G9" i="1"/>
  <c r="G37" i="1"/>
  <c r="G10" i="1"/>
  <c r="G25" i="1"/>
  <c r="G17" i="1"/>
  <c r="G5" i="1"/>
  <c r="G19" i="1"/>
  <c r="G33" i="1"/>
  <c r="G20" i="1"/>
  <c r="G21" i="1"/>
  <c r="G22" i="1"/>
  <c r="G23" i="1"/>
  <c r="G24" i="1"/>
  <c r="G11" i="1"/>
  <c r="G12" i="1"/>
  <c r="G26" i="1"/>
  <c r="G13" i="1"/>
  <c r="G27" i="1"/>
  <c r="G14" i="1"/>
  <c r="G28" i="1"/>
  <c r="G15" i="1"/>
  <c r="G29" i="1"/>
  <c r="G30" i="1"/>
  <c r="G31" i="1"/>
  <c r="G16" i="1"/>
  <c r="F29" i="1"/>
  <c r="F37" i="1"/>
  <c r="F26" i="1"/>
  <c r="F36" i="1"/>
  <c r="F30" i="1"/>
  <c r="F32" i="1"/>
  <c r="F25" i="1"/>
  <c r="F31" i="1"/>
  <c r="F28" i="1"/>
  <c r="F33" i="1"/>
  <c r="F34" i="1"/>
  <c r="F35" i="1"/>
  <c r="F27" i="1"/>
  <c r="C2" i="1"/>
  <c r="F24" i="1"/>
  <c r="D2" i="1"/>
  <c r="F11" i="1"/>
  <c r="F16" i="1"/>
  <c r="F15" i="1"/>
  <c r="F23" i="1"/>
  <c r="F17" i="1"/>
  <c r="F10" i="1"/>
  <c r="F5" i="1"/>
  <c r="F19" i="1"/>
  <c r="F6" i="1"/>
  <c r="F13" i="1"/>
  <c r="F7" i="1"/>
  <c r="F12" i="1"/>
  <c r="F18" i="1"/>
  <c r="F22" i="1"/>
  <c r="F20" i="1"/>
  <c r="F8" i="1"/>
  <c r="A4" i="1"/>
  <c r="G4" i="1" s="1"/>
  <c r="F9" i="1"/>
  <c r="F4" i="1"/>
  <c r="F21" i="1"/>
  <c r="F14" i="1"/>
  <c r="H35" i="1"/>
  <c r="H36" i="1" s="1"/>
  <c r="H37" i="1" s="1"/>
  <c r="G36" i="1" l="1"/>
  <c r="G35" i="1"/>
  <c r="HG190" i="1"/>
  <c r="HL190" i="1" s="1"/>
  <c r="HL191" i="1" s="1"/>
  <c r="HL192" i="1" s="1"/>
  <c r="HL193" i="1" s="1"/>
  <c r="HL194" i="1" s="1"/>
  <c r="HL195" i="1" s="1"/>
  <c r="HL196" i="1" s="1"/>
  <c r="HG266" i="1"/>
  <c r="HL266" i="1" s="1"/>
  <c r="HG77" i="1"/>
  <c r="HL77" i="1" s="1"/>
  <c r="HL78" i="1" s="1"/>
  <c r="HL79" i="1" s="1"/>
  <c r="HG114" i="1"/>
  <c r="HL114" i="1" s="1"/>
  <c r="HL115" i="1" s="1"/>
  <c r="HL116" i="1" s="1"/>
  <c r="HG228" i="1"/>
  <c r="HL228" i="1" s="1"/>
  <c r="HL229" i="1" s="1"/>
  <c r="HL230" i="1" s="1"/>
  <c r="HL231" i="1" s="1"/>
  <c r="HL232" i="1" s="1"/>
  <c r="HL233" i="1" s="1"/>
  <c r="HL234" i="1" s="1"/>
  <c r="HG304" i="1"/>
  <c r="HL304" i="1" s="1"/>
  <c r="HL305" i="1" s="1"/>
  <c r="HL306" i="1" s="1"/>
  <c r="HL307" i="1" s="1"/>
  <c r="HL308" i="1" s="1"/>
  <c r="HG152" i="1"/>
  <c r="HL152" i="1" s="1"/>
  <c r="HL153" i="1" s="1"/>
  <c r="HL154" i="1" s="1"/>
  <c r="HL155" i="1" s="1"/>
  <c r="HL156" i="1" s="1"/>
  <c r="HL157" i="1" s="1"/>
  <c r="HG41" i="1"/>
  <c r="HG4" i="1"/>
  <c r="HL4" i="1" s="1"/>
  <c r="HL5" i="1" s="1"/>
  <c r="HL6" i="1" s="1"/>
  <c r="HL7" i="1" s="1"/>
  <c r="HL8" i="1" s="1"/>
  <c r="HL9" i="1" s="1"/>
  <c r="HL10" i="1" s="1"/>
  <c r="HL11" i="1" s="1"/>
  <c r="HL12" i="1" s="1"/>
  <c r="HL13" i="1" s="1"/>
  <c r="HL14" i="1" s="1"/>
  <c r="HL15" i="1" s="1"/>
  <c r="HL16" i="1" s="1"/>
  <c r="HL17" i="1" s="1"/>
  <c r="HL18" i="1" s="1"/>
  <c r="HL19" i="1" s="1"/>
  <c r="HL20" i="1" s="1"/>
  <c r="HL21" i="1" s="1"/>
  <c r="HL22" i="1" s="1"/>
  <c r="HL23" i="1" s="1"/>
  <c r="HL24" i="1" s="1"/>
  <c r="HL25" i="1" s="1"/>
  <c r="HL26" i="1" s="1"/>
  <c r="HL27" i="1" s="1"/>
  <c r="HL28" i="1" s="1"/>
  <c r="HL29" i="1" s="1"/>
  <c r="HL30" i="1" s="1"/>
  <c r="HL31" i="1" s="1"/>
  <c r="HL32" i="1" s="1"/>
  <c r="HL33" i="1" s="1"/>
  <c r="HL34" i="1" s="1"/>
  <c r="HL35" i="1" s="1"/>
  <c r="HL36" i="1" s="1"/>
  <c r="HL37" i="1" s="1"/>
  <c r="HL38" i="1" s="1"/>
  <c r="HL39" i="1" s="1"/>
  <c r="HF234" i="1" a="1"/>
  <c r="HF79" i="1" a="1"/>
  <c r="HF196" i="1" a="1"/>
  <c r="HF266" i="1" a="1"/>
  <c r="HF116" i="1" a="1"/>
  <c r="HF157" i="1" a="1"/>
  <c r="HF39" i="1" a="1"/>
  <c r="HF308" i="1" a="1"/>
  <c r="HL41" i="1" l="1"/>
  <c r="HL42" i="1" s="1"/>
  <c r="HL43" i="1" s="1"/>
  <c r="HL44" i="1" s="1"/>
  <c r="HL45" i="1" s="1"/>
  <c r="HL46" i="1" s="1"/>
  <c r="HL47" i="1" s="1"/>
  <c r="HL48" i="1" s="1"/>
  <c r="HL49" i="1" s="1"/>
  <c r="HL50" i="1" s="1"/>
  <c r="HL51" i="1" s="1"/>
  <c r="HL52" i="1" s="1"/>
  <c r="HL53" i="1" s="1"/>
  <c r="HL54" i="1" s="1"/>
  <c r="HL55" i="1" s="1"/>
  <c r="HL56" i="1" s="1"/>
  <c r="HF39" i="1"/>
  <c r="HF157" i="1"/>
  <c r="HF116" i="1"/>
  <c r="HF79" i="1"/>
  <c r="HF308" i="1"/>
  <c r="HF196" i="1"/>
  <c r="HF234" i="1"/>
  <c r="HF266" i="1"/>
  <c r="HL158" i="1"/>
  <c r="HL117" i="1"/>
  <c r="HL80" i="1"/>
  <c r="HL309" i="1"/>
  <c r="HL197" i="1"/>
  <c r="HL235" i="1"/>
  <c r="HL267" i="1"/>
  <c r="HF35" i="1" a="1"/>
  <c r="HF194" i="1" a="1"/>
  <c r="HF13" i="1" a="1"/>
  <c r="HF16" i="1" a="1"/>
  <c r="HF34" i="1" a="1"/>
  <c r="HF228" i="1" a="1"/>
  <c r="HF190" i="1" a="1"/>
  <c r="HF305" i="1" a="1"/>
  <c r="HF156" i="1" a="1"/>
  <c r="HF19" i="1" a="1"/>
  <c r="HF5" i="1" a="1"/>
  <c r="HF56" i="1" a="1"/>
  <c r="HF22" i="1" a="1"/>
  <c r="HF38" i="1" a="1"/>
  <c r="HF80" i="1" a="1"/>
  <c r="HF9" i="1" a="1"/>
  <c r="HF155" i="1" a="1"/>
  <c r="HF10" i="1" a="1"/>
  <c r="HF25" i="1" a="1"/>
  <c r="HF154" i="1" a="1"/>
  <c r="HF29" i="1" a="1"/>
  <c r="HF193" i="1" a="1"/>
  <c r="HF195" i="1" a="1"/>
  <c r="HF230" i="1" a="1"/>
  <c r="HF152" i="1" a="1"/>
  <c r="HF232" i="1" a="1"/>
  <c r="HF267" i="1" a="1"/>
  <c r="HF78" i="1" a="1"/>
  <c r="HF26" i="1" a="1"/>
  <c r="HF4" i="1" a="1"/>
  <c r="HF309" i="1" a="1"/>
  <c r="HF306" i="1" a="1"/>
  <c r="HF115" i="1" a="1"/>
  <c r="HF23" i="1" a="1"/>
  <c r="HF153" i="1" a="1"/>
  <c r="HF21" i="1" a="1"/>
  <c r="HF304" i="1" a="1"/>
  <c r="HF31" i="1" a="1"/>
  <c r="HF20" i="1" a="1"/>
  <c r="HF191" i="1" a="1"/>
  <c r="HF7" i="1" a="1"/>
  <c r="HF36" i="1" a="1"/>
  <c r="HF307" i="1" a="1"/>
  <c r="HF229" i="1" a="1"/>
  <c r="HF24" i="1" a="1"/>
  <c r="HF33" i="1" a="1"/>
  <c r="HF8" i="1" a="1"/>
  <c r="HF14" i="1" a="1"/>
  <c r="HF233" i="1" a="1"/>
  <c r="HF15" i="1" a="1"/>
  <c r="HF231" i="1" a="1"/>
  <c r="HF235" i="1" a="1"/>
  <c r="HF158" i="1" a="1"/>
  <c r="HF11" i="1" a="1"/>
  <c r="HF27" i="1" a="1"/>
  <c r="HF6" i="1" a="1"/>
  <c r="HF114" i="1" a="1"/>
  <c r="HF192" i="1" a="1"/>
  <c r="HF30" i="1" a="1"/>
  <c r="HF18" i="1" a="1"/>
  <c r="HF28" i="1" a="1"/>
  <c r="HF17" i="1" a="1"/>
  <c r="HF12" i="1" a="1"/>
  <c r="HF77" i="1" a="1"/>
  <c r="HF32" i="1" a="1"/>
  <c r="HF37" i="1" a="1"/>
  <c r="HF117" i="1" a="1"/>
  <c r="HF197" i="1" a="1"/>
  <c r="HF192" i="1" l="1"/>
  <c r="HF195" i="1"/>
  <c r="HF193" i="1"/>
  <c r="HF190" i="1"/>
  <c r="HF191" i="1"/>
  <c r="HF194" i="1"/>
  <c r="HF231" i="1"/>
  <c r="HF228" i="1"/>
  <c r="HF306" i="1"/>
  <c r="HF155" i="1"/>
  <c r="HF232" i="1"/>
  <c r="HF230" i="1"/>
  <c r="HF78" i="1"/>
  <c r="HF305" i="1"/>
  <c r="HF304" i="1"/>
  <c r="HF77" i="1"/>
  <c r="HF12" i="1"/>
  <c r="HF23" i="1"/>
  <c r="HF233" i="1"/>
  <c r="HF307" i="1"/>
  <c r="HF7" i="1"/>
  <c r="HF154" i="1"/>
  <c r="HF29" i="1"/>
  <c r="HF20" i="1"/>
  <c r="HF152" i="1"/>
  <c r="HF115" i="1"/>
  <c r="HF156" i="1"/>
  <c r="HF11" i="1"/>
  <c r="HF229" i="1"/>
  <c r="HF33" i="1"/>
  <c r="HF16" i="1"/>
  <c r="HF38" i="1"/>
  <c r="HF27" i="1"/>
  <c r="HF153" i="1"/>
  <c r="HF30" i="1"/>
  <c r="HF24" i="1"/>
  <c r="HF114" i="1"/>
  <c r="HF17" i="1"/>
  <c r="HF31" i="1"/>
  <c r="HF28" i="1"/>
  <c r="HF19" i="1"/>
  <c r="HF6" i="1"/>
  <c r="HF10" i="1"/>
  <c r="HF56" i="1"/>
  <c r="HL57" i="1"/>
  <c r="HL58" i="1" s="1"/>
  <c r="HF36" i="1"/>
  <c r="HF37" i="1"/>
  <c r="HF267" i="1"/>
  <c r="HF197" i="1"/>
  <c r="HF235" i="1"/>
  <c r="HF158" i="1"/>
  <c r="HF80" i="1"/>
  <c r="HF309" i="1"/>
  <c r="HF117" i="1"/>
  <c r="HL268" i="1"/>
  <c r="HL198" i="1"/>
  <c r="HL236" i="1"/>
  <c r="HL159" i="1"/>
  <c r="HL81" i="1"/>
  <c r="HL310" i="1"/>
  <c r="HL118" i="1"/>
  <c r="HF26" i="1"/>
  <c r="HF32" i="1"/>
  <c r="HF13" i="1"/>
  <c r="HF21" i="1"/>
  <c r="HF22" i="1"/>
  <c r="HF9" i="1"/>
  <c r="HF5" i="1"/>
  <c r="HF35" i="1"/>
  <c r="HF15" i="1"/>
  <c r="HF25" i="1"/>
  <c r="HF18" i="1"/>
  <c r="HF8" i="1"/>
  <c r="HF34" i="1"/>
  <c r="HF14" i="1"/>
  <c r="HF4" i="1"/>
  <c r="HF53" i="1" a="1"/>
  <c r="HF118" i="1" a="1"/>
  <c r="HF46" i="1" a="1"/>
  <c r="HF52" i="1" a="1"/>
  <c r="HF41" i="1" a="1"/>
  <c r="HF48" i="1" a="1"/>
  <c r="HF47" i="1" a="1"/>
  <c r="HF159" i="1" a="1"/>
  <c r="HF54" i="1" a="1"/>
  <c r="HF310" i="1" a="1"/>
  <c r="HF49" i="1" a="1"/>
  <c r="HF55" i="1" a="1"/>
  <c r="HF45" i="1" a="1"/>
  <c r="HF42" i="1" a="1"/>
  <c r="HF236" i="1" a="1"/>
  <c r="HF51" i="1" a="1"/>
  <c r="HF43" i="1" a="1"/>
  <c r="HF58" i="1" a="1"/>
  <c r="HF50" i="1" a="1"/>
  <c r="HF81" i="1" a="1"/>
  <c r="HF44" i="1" a="1"/>
  <c r="HF198" i="1" a="1"/>
  <c r="HF268" i="1" a="1"/>
  <c r="HF44" i="1" l="1"/>
  <c r="HF45" i="1"/>
  <c r="HF46" i="1"/>
  <c r="HF42" i="1"/>
  <c r="HF55" i="1"/>
  <c r="HF51" i="1"/>
  <c r="HF48" i="1"/>
  <c r="HF52" i="1"/>
  <c r="HF41" i="1"/>
  <c r="HF53" i="1"/>
  <c r="HF54" i="1"/>
  <c r="HF43" i="1"/>
  <c r="HF49" i="1"/>
  <c r="HF47" i="1"/>
  <c r="HF50" i="1"/>
  <c r="HF310" i="1"/>
  <c r="HF118" i="1"/>
  <c r="HF81" i="1"/>
  <c r="HF159" i="1"/>
  <c r="HF236" i="1"/>
  <c r="HF198" i="1"/>
  <c r="HF268" i="1"/>
  <c r="HL311" i="1"/>
  <c r="HL119" i="1"/>
  <c r="HL82" i="1"/>
  <c r="HL160" i="1"/>
  <c r="HL237" i="1"/>
  <c r="HL199" i="1"/>
  <c r="HL269" i="1"/>
  <c r="HF58" i="1"/>
  <c r="HL59" i="1"/>
  <c r="HF59" i="1" a="1"/>
  <c r="HF82" i="1" a="1"/>
  <c r="HF57" i="1" a="1"/>
  <c r="HF269" i="1" a="1"/>
  <c r="HF199" i="1" a="1"/>
  <c r="HF119" i="1" a="1"/>
  <c r="HF311" i="1" a="1"/>
  <c r="HF237" i="1" a="1"/>
  <c r="HF160" i="1" a="1"/>
  <c r="HF57" i="1" l="1"/>
  <c r="HF269" i="1"/>
  <c r="HF199" i="1"/>
  <c r="HF237" i="1"/>
  <c r="HF160" i="1"/>
  <c r="HF82" i="1"/>
  <c r="HF119" i="1"/>
  <c r="HF311" i="1"/>
  <c r="HL270" i="1"/>
  <c r="HL200" i="1"/>
  <c r="HL238" i="1"/>
  <c r="HL161" i="1"/>
  <c r="HL83" i="1"/>
  <c r="HL120" i="1"/>
  <c r="HL312" i="1"/>
  <c r="HF59" i="1"/>
  <c r="HL60" i="1"/>
  <c r="HF60" i="1" a="1"/>
  <c r="HF312" i="1" a="1"/>
  <c r="HF270" i="1" a="1"/>
  <c r="HF161" i="1" a="1"/>
  <c r="HF83" i="1" a="1"/>
  <c r="HF200" i="1" a="1"/>
  <c r="HF238" i="1" a="1"/>
  <c r="HF120" i="1" a="1"/>
  <c r="HF312" i="1" l="1"/>
  <c r="HF120" i="1"/>
  <c r="HF83" i="1"/>
  <c r="HF161" i="1"/>
  <c r="HF238" i="1"/>
  <c r="HF200" i="1"/>
  <c r="HF270" i="1"/>
  <c r="HL313" i="1"/>
  <c r="HL121" i="1"/>
  <c r="HL84" i="1"/>
  <c r="HL162" i="1"/>
  <c r="HL239" i="1"/>
  <c r="HL201" i="1"/>
  <c r="HL271" i="1"/>
  <c r="HF60" i="1"/>
  <c r="HL61" i="1"/>
  <c r="HF121" i="1" a="1"/>
  <c r="HF61" i="1" a="1"/>
  <c r="HF162" i="1" a="1"/>
  <c r="HF313" i="1" a="1"/>
  <c r="HF84" i="1" a="1"/>
  <c r="HF201" i="1" a="1"/>
  <c r="HF271" i="1" a="1"/>
  <c r="HF239" i="1" a="1"/>
  <c r="HF271" i="1" l="1"/>
  <c r="HF84" i="1"/>
  <c r="HF313" i="1"/>
  <c r="HF239" i="1"/>
  <c r="HF201" i="1"/>
  <c r="HF121" i="1"/>
  <c r="HF162" i="1"/>
  <c r="HL272" i="1"/>
  <c r="HL85" i="1"/>
  <c r="HL314" i="1"/>
  <c r="HL240" i="1"/>
  <c r="HL202" i="1"/>
  <c r="HL122" i="1"/>
  <c r="HL163" i="1"/>
  <c r="HF61" i="1"/>
  <c r="HL62" i="1"/>
  <c r="HF62" i="1" a="1"/>
  <c r="HF272" i="1" a="1"/>
  <c r="HF314" i="1" a="1"/>
  <c r="HF202" i="1" a="1"/>
  <c r="HF122" i="1" a="1"/>
  <c r="HF85" i="1" a="1"/>
  <c r="HF163" i="1" a="1"/>
  <c r="HF240" i="1" a="1"/>
  <c r="HF163" i="1" l="1"/>
  <c r="HF122" i="1"/>
  <c r="HF202" i="1"/>
  <c r="HF240" i="1"/>
  <c r="HF314" i="1"/>
  <c r="HF85" i="1"/>
  <c r="HF272" i="1"/>
  <c r="HL164" i="1"/>
  <c r="HL123" i="1"/>
  <c r="HL203" i="1"/>
  <c r="HL241" i="1"/>
  <c r="HL315" i="1"/>
  <c r="HL86" i="1"/>
  <c r="HL273" i="1"/>
  <c r="HF62" i="1"/>
  <c r="HL63" i="1"/>
  <c r="HF63" i="1" a="1"/>
  <c r="HF123" i="1" a="1"/>
  <c r="HF273" i="1" a="1"/>
  <c r="HF164" i="1" a="1"/>
  <c r="HF203" i="1" a="1"/>
  <c r="HF241" i="1" a="1"/>
  <c r="HF315" i="1" a="1"/>
  <c r="HF86" i="1" a="1"/>
  <c r="HF273" i="1" l="1"/>
  <c r="HF86" i="1"/>
  <c r="HF315" i="1"/>
  <c r="HF241" i="1"/>
  <c r="HF203" i="1"/>
  <c r="HF123" i="1"/>
  <c r="HF164" i="1"/>
  <c r="HL274" i="1"/>
  <c r="HL87" i="1"/>
  <c r="HL316" i="1"/>
  <c r="HL242" i="1"/>
  <c r="HL204" i="1"/>
  <c r="HL124" i="1"/>
  <c r="HL165" i="1"/>
  <c r="HF63" i="1"/>
  <c r="HL64" i="1"/>
  <c r="HF274" i="1" a="1"/>
  <c r="HF64" i="1" a="1"/>
  <c r="HF242" i="1" a="1"/>
  <c r="HF204" i="1" a="1"/>
  <c r="HF165" i="1" a="1"/>
  <c r="HF87" i="1" a="1"/>
  <c r="HF124" i="1" a="1"/>
  <c r="HF316" i="1" a="1"/>
  <c r="HF165" i="1" l="1"/>
  <c r="HF124" i="1"/>
  <c r="HF204" i="1"/>
  <c r="HF242" i="1"/>
  <c r="HF316" i="1"/>
  <c r="HF87" i="1"/>
  <c r="HF274" i="1"/>
  <c r="HL166" i="1"/>
  <c r="HL125" i="1"/>
  <c r="HL205" i="1"/>
  <c r="HL243" i="1"/>
  <c r="HL317" i="1"/>
  <c r="HL88" i="1"/>
  <c r="HL275" i="1"/>
  <c r="HF64" i="1"/>
  <c r="HL65" i="1"/>
  <c r="HF65" i="1" a="1"/>
  <c r="HF166" i="1" a="1"/>
  <c r="HF243" i="1" a="1"/>
  <c r="HF275" i="1" a="1"/>
  <c r="HF205" i="1" a="1"/>
  <c r="HF88" i="1" a="1"/>
  <c r="HF125" i="1" a="1"/>
  <c r="HF317" i="1" a="1"/>
  <c r="HF275" i="1" l="1"/>
  <c r="HF88" i="1"/>
  <c r="HF317" i="1"/>
  <c r="HF243" i="1"/>
  <c r="HF205" i="1"/>
  <c r="HF125" i="1"/>
  <c r="HF166" i="1"/>
  <c r="HL276" i="1"/>
  <c r="HL89" i="1"/>
  <c r="HL318" i="1"/>
  <c r="HL244" i="1"/>
  <c r="HL206" i="1"/>
  <c r="HL126" i="1"/>
  <c r="HL167" i="1"/>
  <c r="HF65" i="1"/>
  <c r="HL66" i="1"/>
  <c r="HF66" i="1" a="1"/>
  <c r="HF276" i="1" a="1"/>
  <c r="HF318" i="1" a="1"/>
  <c r="HF206" i="1" a="1"/>
  <c r="HF167" i="1" a="1"/>
  <c r="HF89" i="1" a="1"/>
  <c r="HF126" i="1" a="1"/>
  <c r="HF244" i="1" a="1"/>
  <c r="HF167" i="1" l="1"/>
  <c r="HF126" i="1"/>
  <c r="HF206" i="1"/>
  <c r="HF244" i="1"/>
  <c r="HF318" i="1"/>
  <c r="HF89" i="1"/>
  <c r="HF276" i="1"/>
  <c r="HL168" i="1"/>
  <c r="HL127" i="1"/>
  <c r="HL207" i="1"/>
  <c r="HL245" i="1"/>
  <c r="HL319" i="1"/>
  <c r="HL90" i="1"/>
  <c r="HL277" i="1"/>
  <c r="HF66" i="1"/>
  <c r="HL67" i="1"/>
  <c r="HF67" i="1" a="1"/>
  <c r="HF168" i="1" a="1"/>
  <c r="HF207" i="1" a="1"/>
  <c r="HF245" i="1" a="1"/>
  <c r="HF319" i="1" a="1"/>
  <c r="HF277" i="1" a="1"/>
  <c r="HF127" i="1" a="1"/>
  <c r="HF90" i="1" a="1"/>
  <c r="HF319" i="1" l="1"/>
  <c r="HF207" i="1"/>
  <c r="HF277" i="1"/>
  <c r="HF168" i="1"/>
  <c r="HF90" i="1"/>
  <c r="HF245" i="1"/>
  <c r="HF127" i="1"/>
  <c r="HL320" i="1"/>
  <c r="HL208" i="1"/>
  <c r="HL278" i="1"/>
  <c r="HL169" i="1"/>
  <c r="HL91" i="1"/>
  <c r="HL246" i="1"/>
  <c r="HL128" i="1"/>
  <c r="HF67" i="1"/>
  <c r="HL68" i="1"/>
  <c r="HF68" i="1" a="1"/>
  <c r="HF91" i="1" a="1"/>
  <c r="HF320" i="1" a="1"/>
  <c r="HF278" i="1" a="1"/>
  <c r="HF246" i="1" a="1"/>
  <c r="HF208" i="1" a="1"/>
  <c r="HF169" i="1" a="1"/>
  <c r="HF128" i="1" a="1"/>
  <c r="HF91" i="1" l="1"/>
  <c r="HF128" i="1"/>
  <c r="HF246" i="1"/>
  <c r="HF169" i="1"/>
  <c r="HF278" i="1"/>
  <c r="HF208" i="1"/>
  <c r="HF320" i="1"/>
  <c r="HL92" i="1"/>
  <c r="HL129" i="1"/>
  <c r="HL247" i="1"/>
  <c r="HL170" i="1"/>
  <c r="HL279" i="1"/>
  <c r="HL209" i="1"/>
  <c r="HL321" i="1"/>
  <c r="HF68" i="1"/>
  <c r="HL69" i="1"/>
  <c r="HF69" i="1" a="1"/>
  <c r="HF92" i="1" a="1"/>
  <c r="HF129" i="1" a="1"/>
  <c r="HF170" i="1" a="1"/>
  <c r="HF279" i="1" a="1"/>
  <c r="HF321" i="1" a="1"/>
  <c r="HF247" i="1" a="1"/>
  <c r="HF209" i="1" a="1"/>
  <c r="HF321" i="1" l="1"/>
  <c r="HF209" i="1"/>
  <c r="HF279" i="1"/>
  <c r="HF170" i="1"/>
  <c r="HF247" i="1"/>
  <c r="HF129" i="1"/>
  <c r="HF92" i="1"/>
  <c r="HL322" i="1"/>
  <c r="HL210" i="1"/>
  <c r="HL280" i="1"/>
  <c r="HL171" i="1"/>
  <c r="HL248" i="1"/>
  <c r="HL130" i="1"/>
  <c r="HL93" i="1"/>
  <c r="HF69" i="1"/>
  <c r="HL70" i="1"/>
  <c r="HF322" i="1" a="1"/>
  <c r="HF70" i="1" a="1"/>
  <c r="HF210" i="1" a="1"/>
  <c r="HF280" i="1" a="1"/>
  <c r="HF171" i="1" a="1"/>
  <c r="HF130" i="1" a="1"/>
  <c r="HF93" i="1" a="1"/>
  <c r="HF248" i="1" a="1"/>
  <c r="HF93" i="1" l="1"/>
  <c r="HF130" i="1"/>
  <c r="HF248" i="1"/>
  <c r="HF171" i="1"/>
  <c r="HF280" i="1"/>
  <c r="HF210" i="1"/>
  <c r="HF322" i="1"/>
  <c r="HL94" i="1"/>
  <c r="HL131" i="1"/>
  <c r="HL249" i="1"/>
  <c r="HL172" i="1"/>
  <c r="HL281" i="1"/>
  <c r="HL211" i="1"/>
  <c r="HL323" i="1"/>
  <c r="HF70" i="1"/>
  <c r="HL71" i="1"/>
  <c r="HF211" i="1" a="1"/>
  <c r="HF71" i="1" a="1"/>
  <c r="HF281" i="1" a="1"/>
  <c r="HF249" i="1" a="1"/>
  <c r="HF94" i="1" a="1"/>
  <c r="HF172" i="1" a="1"/>
  <c r="HF131" i="1" a="1"/>
  <c r="HF323" i="1" a="1"/>
  <c r="HF323" i="1" l="1"/>
  <c r="HF211" i="1"/>
  <c r="HF281" i="1"/>
  <c r="HF172" i="1"/>
  <c r="HF249" i="1"/>
  <c r="HF131" i="1"/>
  <c r="HF94" i="1"/>
  <c r="HL324" i="1"/>
  <c r="HL212" i="1"/>
  <c r="HL282" i="1"/>
  <c r="HL173" i="1"/>
  <c r="HL250" i="1"/>
  <c r="HL132" i="1"/>
  <c r="HL95" i="1"/>
  <c r="HF71" i="1"/>
  <c r="HL72" i="1"/>
  <c r="HF72" i="1" a="1"/>
  <c r="HF173" i="1" a="1"/>
  <c r="HF250" i="1" a="1"/>
  <c r="HF95" i="1" a="1"/>
  <c r="HF212" i="1" a="1"/>
  <c r="HF132" i="1" a="1"/>
  <c r="HF282" i="1" a="1"/>
  <c r="HL325" i="1" l="1"/>
  <c r="HL326" i="1" s="1"/>
  <c r="HL327" i="1" s="1"/>
  <c r="HL328" i="1" s="1"/>
  <c r="HL329" i="1" s="1"/>
  <c r="HL330" i="1" s="1"/>
  <c r="HL331" i="1" s="1"/>
  <c r="HL332" i="1" s="1"/>
  <c r="HL333" i="1" s="1"/>
  <c r="HL334" i="1" s="1"/>
  <c r="HL335" i="1" s="1"/>
  <c r="HL336" i="1" s="1"/>
  <c r="HL337" i="1" s="1"/>
  <c r="HL338" i="1" s="1"/>
  <c r="HL339" i="1" s="1"/>
  <c r="HL340" i="1" s="1"/>
  <c r="HF282" i="1"/>
  <c r="HF212" i="1"/>
  <c r="HF95" i="1"/>
  <c r="HF132" i="1"/>
  <c r="HF250" i="1"/>
  <c r="HF173" i="1"/>
  <c r="HL283" i="1"/>
  <c r="HL213" i="1"/>
  <c r="HL96" i="1"/>
  <c r="HL133" i="1"/>
  <c r="HL251" i="1"/>
  <c r="HL174" i="1"/>
  <c r="HF72" i="1"/>
  <c r="HL73" i="1"/>
  <c r="HL74" i="1" s="1"/>
  <c r="HL75" i="1" s="1"/>
  <c r="HF324" i="1" a="1"/>
  <c r="HF283" i="1" a="1"/>
  <c r="HF96" i="1" a="1"/>
  <c r="HF133" i="1" a="1"/>
  <c r="HF174" i="1" a="1"/>
  <c r="HF213" i="1" a="1"/>
  <c r="HF324" i="1" l="1"/>
  <c r="HL252" i="1"/>
  <c r="HF174" i="1"/>
  <c r="HF133" i="1"/>
  <c r="HF96" i="1"/>
  <c r="HF213" i="1"/>
  <c r="HF283" i="1"/>
  <c r="HL175" i="1"/>
  <c r="HL134" i="1"/>
  <c r="HL97" i="1"/>
  <c r="HL214" i="1"/>
  <c r="HL284" i="1"/>
  <c r="HF251" i="1" a="1"/>
  <c r="HF134" i="1" a="1"/>
  <c r="HF97" i="1" a="1"/>
  <c r="HF175" i="1" a="1"/>
  <c r="HF284" i="1" a="1"/>
  <c r="HL253" i="1" l="1"/>
  <c r="HL215" i="1"/>
  <c r="HF251" i="1"/>
  <c r="HF134" i="1"/>
  <c r="HF284" i="1"/>
  <c r="HF97" i="1"/>
  <c r="HF175" i="1"/>
  <c r="HL135" i="1"/>
  <c r="HL285" i="1"/>
  <c r="HL98" i="1"/>
  <c r="HL176" i="1"/>
  <c r="HF252" i="1" a="1"/>
  <c r="HF285" i="1" a="1"/>
  <c r="HF214" i="1" a="1"/>
  <c r="HF98" i="1" a="1"/>
  <c r="HF135" i="1" a="1"/>
  <c r="HL254" i="1" l="1"/>
  <c r="HF252" i="1"/>
  <c r="HL216" i="1"/>
  <c r="HF214" i="1"/>
  <c r="HL177" i="1"/>
  <c r="HF98" i="1"/>
  <c r="HF285" i="1"/>
  <c r="HF135" i="1"/>
  <c r="HL99" i="1"/>
  <c r="HL286" i="1"/>
  <c r="HL136" i="1"/>
  <c r="HF215" i="1" a="1"/>
  <c r="HF253" i="1" a="1"/>
  <c r="HF176" i="1" a="1"/>
  <c r="HF136" i="1" a="1"/>
  <c r="HF99" i="1" a="1"/>
  <c r="HF286" i="1" a="1"/>
  <c r="HL255" i="1" l="1"/>
  <c r="HF253" i="1"/>
  <c r="HL217" i="1"/>
  <c r="HF215" i="1"/>
  <c r="HL178" i="1"/>
  <c r="HF176" i="1"/>
  <c r="HF136" i="1"/>
  <c r="HF286" i="1"/>
  <c r="HF99" i="1"/>
  <c r="HL137" i="1"/>
  <c r="HL287" i="1"/>
  <c r="HL100" i="1"/>
  <c r="HF177" i="1" a="1"/>
  <c r="HF216" i="1" a="1"/>
  <c r="HF254" i="1" a="1"/>
  <c r="HF137" i="1" a="1"/>
  <c r="HF287" i="1" a="1"/>
  <c r="HF100" i="1" a="1"/>
  <c r="HL256" i="1" l="1"/>
  <c r="HL257" i="1" s="1"/>
  <c r="HL258" i="1" s="1"/>
  <c r="HL259" i="1" s="1"/>
  <c r="HL260" i="1" s="1"/>
  <c r="HL261" i="1" s="1"/>
  <c r="HL262" i="1" s="1"/>
  <c r="HL263" i="1" s="1"/>
  <c r="HL264" i="1" s="1"/>
  <c r="HF254" i="1"/>
  <c r="HL218" i="1"/>
  <c r="HF216" i="1"/>
  <c r="HL179" i="1"/>
  <c r="HF177" i="1"/>
  <c r="HF100" i="1"/>
  <c r="HF287" i="1"/>
  <c r="HF137" i="1"/>
  <c r="HL101" i="1"/>
  <c r="HL288" i="1"/>
  <c r="HL138" i="1"/>
  <c r="HF217" i="1" a="1"/>
  <c r="HF178" i="1" a="1"/>
  <c r="HF255" i="1" a="1"/>
  <c r="HF288" i="1" a="1"/>
  <c r="HF101" i="1" a="1"/>
  <c r="HF255" i="1" l="1"/>
  <c r="HL219" i="1"/>
  <c r="HL220" i="1" s="1"/>
  <c r="HL221" i="1" s="1"/>
  <c r="HL222" i="1" s="1"/>
  <c r="HL223" i="1" s="1"/>
  <c r="HL224" i="1" s="1"/>
  <c r="HL225" i="1" s="1"/>
  <c r="HL226" i="1" s="1"/>
  <c r="HF217" i="1"/>
  <c r="HL180" i="1"/>
  <c r="HL181" i="1" s="1"/>
  <c r="HL182" i="1" s="1"/>
  <c r="HL183" i="1" s="1"/>
  <c r="HL184" i="1" s="1"/>
  <c r="HL185" i="1" s="1"/>
  <c r="HL186" i="1" s="1"/>
  <c r="HL187" i="1" s="1"/>
  <c r="HL188" i="1" s="1"/>
  <c r="HF178" i="1"/>
  <c r="HL139" i="1"/>
  <c r="HF288" i="1"/>
  <c r="HF101" i="1"/>
  <c r="HL289" i="1"/>
  <c r="HL102" i="1"/>
  <c r="HF179" i="1" a="1"/>
  <c r="HF218" i="1" a="1"/>
  <c r="HF102" i="1" a="1"/>
  <c r="HF138" i="1" a="1"/>
  <c r="HF218" i="1" l="1"/>
  <c r="HL290" i="1"/>
  <c r="HL291" i="1" s="1"/>
  <c r="HL292" i="1" s="1"/>
  <c r="HL293" i="1" s="1"/>
  <c r="HL294" i="1" s="1"/>
  <c r="HL295" i="1" s="1"/>
  <c r="HL296" i="1" s="1"/>
  <c r="HL297" i="1" s="1"/>
  <c r="HL298" i="1" s="1"/>
  <c r="HL299" i="1" s="1"/>
  <c r="HL300" i="1" s="1"/>
  <c r="HL301" i="1" s="1"/>
  <c r="HL302" i="1" s="1"/>
  <c r="HF179" i="1"/>
  <c r="HL140" i="1"/>
  <c r="HF138" i="1"/>
  <c r="HF102" i="1"/>
  <c r="HL103" i="1"/>
  <c r="HF139" i="1" a="1"/>
  <c r="HF103" i="1" a="1"/>
  <c r="HF289" i="1" a="1"/>
  <c r="HF289" i="1" l="1"/>
  <c r="HL141" i="1"/>
  <c r="HF139" i="1"/>
  <c r="HF103" i="1"/>
  <c r="HL104" i="1"/>
  <c r="HF104" i="1" a="1"/>
  <c r="HF140" i="1" a="1"/>
  <c r="HL142" i="1" l="1"/>
  <c r="HF140" i="1"/>
  <c r="HF104" i="1"/>
  <c r="HL105" i="1"/>
  <c r="HF141" i="1" a="1"/>
  <c r="HL143" i="1" l="1"/>
  <c r="HF141" i="1"/>
  <c r="HL106" i="1"/>
  <c r="HF142" i="1" a="1"/>
  <c r="HF105" i="1" a="1"/>
  <c r="HL144" i="1" l="1"/>
  <c r="HL145" i="1" s="1"/>
  <c r="HL146" i="1" s="1"/>
  <c r="HL147" i="1" s="1"/>
  <c r="HL148" i="1" s="1"/>
  <c r="HL149" i="1" s="1"/>
  <c r="HL150" i="1" s="1"/>
  <c r="HF142" i="1"/>
  <c r="HL107" i="1"/>
  <c r="HL108" i="1" s="1"/>
  <c r="HL109" i="1" s="1"/>
  <c r="HL110" i="1" s="1"/>
  <c r="HL111" i="1" s="1"/>
  <c r="HL112" i="1" s="1"/>
  <c r="HF105" i="1"/>
  <c r="HF143" i="1" a="1"/>
  <c r="HF106" i="1" a="1"/>
  <c r="HF143" i="1" l="1"/>
  <c r="HF1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 gordillo</author>
  </authors>
  <commentList>
    <comment ref="I16" authorId="0" shapeId="0" xr:uid="{2898E89F-FB6F-429E-8C9C-B1741882E727}">
      <text>
        <r>
          <rPr>
            <sz val="9"/>
            <color indexed="81"/>
            <rFont val="Tahoma"/>
            <family val="2"/>
          </rPr>
          <t>Florencia Viviana Quintero
CUIT/CUIL: 27-32466266-4
Mercado Pago
CVU: 0000003100021386062169</t>
        </r>
      </text>
    </comment>
    <comment ref="I17" authorId="0" shapeId="0" xr:uid="{5223D65A-EB5D-4049-A706-ED147ECA2D36}">
      <text>
        <r>
          <rPr>
            <b/>
            <sz val="9"/>
            <color indexed="81"/>
            <rFont val="Tahoma"/>
            <family val="2"/>
          </rPr>
          <t>Gordillo Claudia Rosa
CUIT/CUIL: 27-14863328-8
Banco Macro
CBU: 2850575640095554115928</t>
        </r>
      </text>
    </comment>
    <comment ref="I18" authorId="0" shapeId="0" xr:uid="{A11048F3-74B0-441C-AFFC-66BE775D5F2A}">
      <text>
        <r>
          <rPr>
            <b/>
            <sz val="9"/>
            <color indexed="81"/>
            <rFont val="Tahoma"/>
            <family val="2"/>
          </rPr>
          <t>Melanie Ayelen Escalante / CUIT: 27-37250593-7 / CVU: 0000003100010390039733</t>
        </r>
      </text>
    </comment>
    <comment ref="I20" authorId="0" shapeId="0" xr:uid="{EB05E944-E3B2-4472-946A-392CE66E7417}">
      <text>
        <r>
          <rPr>
            <b/>
            <sz val="9"/>
            <color indexed="81"/>
            <rFont val="Tahoma"/>
            <family val="2"/>
          </rPr>
          <t>Bridge Sistemas Informáticos 
BANCO: BBVA BANCO FRANCES
CTA. CTE. N°76653
CBU: 0170128520000000766533
CUIT: 30714740306</t>
        </r>
      </text>
    </comment>
    <comment ref="I22" authorId="0" shapeId="0" xr:uid="{021ABF4D-0D32-4FFE-8BC9-29A207F4823B}">
      <text>
        <r>
          <rPr>
            <b/>
            <sz val="9"/>
            <color indexed="81"/>
            <rFont val="Tahoma"/>
            <family val="2"/>
          </rPr>
          <t xml:space="preserve">CUIT: 30- 70990875-4
ALIAS: cafamar.mdp
CÁMARA FERRETERÍAS Y AFINES MDP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25730-5692-4111-983A-45F43109231D}" keepAlive="1" name="Consulta - Fechas Sueldos" description="Conexión a la consulta 'Fechas Sueldos' en el libro." type="5" refreshedVersion="8" background="1" saveData="1">
    <dbPr connection="Provider=Microsoft.Mashup.OleDb.1;Data Source=$Workbook$;Location=&quot;Fechas Sueldos&quot;;Extended Properties=&quot;&quot;" command="SELECT * FROM [Fechas Sueldos]"/>
  </connection>
  <connection id="2" xr16:uid="{595698AF-C311-442D-AD59-1BC4D5CA4E12}" keepAlive="1" name="Consulta - GASTOSFIJOS" description="Conexión a la consulta 'GASTOSFIJOS' en el libro." type="5" refreshedVersion="8" background="1" saveData="1">
    <dbPr connection="Provider=Microsoft.Mashup.OleDb.1;Data Source=$Workbook$;Location=GASTOSFIJOS;Extended Properties=&quot;&quot;" command="SELECT * FROM [GASTOSFIJOS]"/>
  </connection>
  <connection id="3" xr16:uid="{FD0B848D-AA0E-41E1-9CA6-564CF8CB95B3}" keepAlive="1" name="Consulta - tMov" description="Conexión a la consulta 'tMov' en el libro." type="5" refreshedVersion="8" background="1" saveData="1">
    <dbPr connection="Provider=Microsoft.Mashup.OleDb.1;Data Source=$Workbook$;Location=tMov;Extended Properties=&quot;&quot;" command="SELECT * FROM [tMov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<sst xmlns="http://schemas.openxmlformats.org/spreadsheetml/2006/main" count="1640" uniqueCount="301">
  <si>
    <t>Descripción</t>
  </si>
  <si>
    <t>Banco</t>
  </si>
  <si>
    <t>Cuotas</t>
  </si>
  <si>
    <t>V.</t>
  </si>
  <si>
    <t>Tarjeta</t>
  </si>
  <si>
    <t>Venc. Gral.</t>
  </si>
  <si>
    <t>Galicia</t>
  </si>
  <si>
    <t>Santander Rio</t>
  </si>
  <si>
    <t>ICBC</t>
  </si>
  <si>
    <t>Frances</t>
  </si>
  <si>
    <t>Galicia +</t>
  </si>
  <si>
    <t>Cuota Facilidades IVA</t>
  </si>
  <si>
    <t>Debito Auto.</t>
  </si>
  <si>
    <t>Alquiler Distribuidora</t>
  </si>
  <si>
    <t>Alquiler Casa</t>
  </si>
  <si>
    <t>Mel diseño grafico</t>
  </si>
  <si>
    <t>Contador</t>
  </si>
  <si>
    <t>BS Gestion</t>
  </si>
  <si>
    <t>66 eCommerce</t>
  </si>
  <si>
    <t>Tarifa Expo</t>
  </si>
  <si>
    <t>Autonomo</t>
  </si>
  <si>
    <t>Cargas Sociales</t>
  </si>
  <si>
    <t>Monotributo IVAN</t>
  </si>
  <si>
    <t>Monotributo Mayeski</t>
  </si>
  <si>
    <t>DÓLAR:</t>
  </si>
  <si>
    <t>Cierre</t>
  </si>
  <si>
    <t>VISA - 2884</t>
  </si>
  <si>
    <t>AMEX - 0793</t>
  </si>
  <si>
    <t>VISA - 3394</t>
  </si>
  <si>
    <t>MASTER - 6770</t>
  </si>
  <si>
    <t>VISA - 7406</t>
  </si>
  <si>
    <t>VISA - 2857</t>
  </si>
  <si>
    <t>AMEX - 62044</t>
  </si>
  <si>
    <t>ITEM</t>
  </si>
  <si>
    <t>DETALLE DE GASTOS FIJOS Y TARJETA</t>
  </si>
  <si>
    <t>VISA - 0499</t>
  </si>
  <si>
    <t>Fecha:</t>
  </si>
  <si>
    <t>Día</t>
  </si>
  <si>
    <t>Tarjeta ICBC</t>
  </si>
  <si>
    <t>Tarjeta Frances</t>
  </si>
  <si>
    <t>Prestamo Galicia</t>
  </si>
  <si>
    <t>Prestamo Santander Rio</t>
  </si>
  <si>
    <t>Prestamo Galicia +</t>
  </si>
  <si>
    <t>P?</t>
  </si>
  <si>
    <t>Pago?</t>
  </si>
  <si>
    <t>Efectivo</t>
  </si>
  <si>
    <t>Dólar:</t>
  </si>
  <si>
    <t>Dólar</t>
  </si>
  <si>
    <t>SI</t>
  </si>
  <si>
    <t>Importe $$</t>
  </si>
  <si>
    <t>dólar</t>
  </si>
  <si>
    <t>Falta</t>
  </si>
  <si>
    <t>IR</t>
  </si>
  <si>
    <t>Tarjeta Galicia + VISA</t>
  </si>
  <si>
    <t>Tarjeta Galicia + MASTER</t>
  </si>
  <si>
    <t>Tarjeta Galicia - VISA</t>
  </si>
  <si>
    <t>Tarjeta Galicia - AMEX</t>
  </si>
  <si>
    <t>Tarjeta Santander Rio - VISA</t>
  </si>
  <si>
    <t>Tarjeta Santander Rio - AMEX</t>
  </si>
  <si>
    <t>Personal Flow</t>
  </si>
  <si>
    <t>Aseg. Motovehicular</t>
  </si>
  <si>
    <t>Movistar</t>
  </si>
  <si>
    <t>Seguros Rivadavía</t>
  </si>
  <si>
    <t>Osdepym</t>
  </si>
  <si>
    <t>Victoria Seguros</t>
  </si>
  <si>
    <t>ATM Mercado Libre</t>
  </si>
  <si>
    <t>Pago de IVA</t>
  </si>
  <si>
    <t>IIBB</t>
  </si>
  <si>
    <t>Falta Abonar:</t>
  </si>
  <si>
    <t>Echeq - Alcides</t>
  </si>
  <si>
    <t>Echeq - NEPLASTIC</t>
  </si>
  <si>
    <t>semana pasada</t>
  </si>
  <si>
    <t>Ingreso:</t>
  </si>
  <si>
    <t>Mercadería:</t>
  </si>
  <si>
    <t>Nico:</t>
  </si>
  <si>
    <t>Fijos:</t>
  </si>
  <si>
    <t>Sueldos:</t>
  </si>
  <si>
    <t>Banco:</t>
  </si>
  <si>
    <t>Saldo:</t>
  </si>
  <si>
    <t>Mercado pago - Despachante</t>
  </si>
  <si>
    <t>Prestamo Galicia - SGR</t>
  </si>
  <si>
    <t>Fecha</t>
  </si>
  <si>
    <t>Detalle</t>
  </si>
  <si>
    <t>Valor</t>
  </si>
  <si>
    <t>SUELDOS</t>
  </si>
  <si>
    <t>Concepto</t>
  </si>
  <si>
    <t>Monto $</t>
  </si>
  <si>
    <t>Monto usd</t>
  </si>
  <si>
    <t>Pague?</t>
  </si>
  <si>
    <t>GASTOS FIJOS</t>
  </si>
  <si>
    <t>Importe</t>
  </si>
  <si>
    <t>Proveedor</t>
  </si>
  <si>
    <t>COMPRA MERCADERÍA</t>
  </si>
  <si>
    <t>OTROS GASTOS</t>
  </si>
  <si>
    <t>LCT</t>
  </si>
  <si>
    <t>Uber</t>
  </si>
  <si>
    <t>Tipo</t>
  </si>
  <si>
    <t>TOTAL</t>
  </si>
  <si>
    <t>TIPO</t>
  </si>
  <si>
    <t>IMPORTE</t>
  </si>
  <si>
    <t>RESUMEN MENSUAL DE GASTOS</t>
  </si>
  <si>
    <t>MES:</t>
  </si>
  <si>
    <t>AÑO:</t>
  </si>
  <si>
    <t>MES</t>
  </si>
  <si>
    <t>Aserradero - Listones</t>
  </si>
  <si>
    <t>Sueldo chico nuevo</t>
  </si>
  <si>
    <t>Descubierto Santander</t>
  </si>
  <si>
    <t>Descubierto Galicia</t>
  </si>
  <si>
    <t>Edenor</t>
  </si>
  <si>
    <t>Chavetas Kaz</t>
  </si>
  <si>
    <t>Maderas Brito</t>
  </si>
  <si>
    <t>Publicidad - T. Warnes</t>
  </si>
  <si>
    <t>Combustible Corsa</t>
  </si>
  <si>
    <t>Oribe Varios</t>
  </si>
  <si>
    <t>Gases y Soldaduras</t>
  </si>
  <si>
    <t>Minimo:</t>
  </si>
  <si>
    <t>Carccione</t>
  </si>
  <si>
    <t>InyectGas</t>
  </si>
  <si>
    <t>Librería</t>
  </si>
  <si>
    <t>Pago Tarjeta Nadia</t>
  </si>
  <si>
    <t>Ingles</t>
  </si>
  <si>
    <t>E-cheq Fader</t>
  </si>
  <si>
    <t>Intereses por Descubierto</t>
  </si>
  <si>
    <t>Maderas Cecato</t>
  </si>
  <si>
    <t>Articulos Librería</t>
  </si>
  <si>
    <t>Walter Gavetas</t>
  </si>
  <si>
    <t>Envío Oring</t>
  </si>
  <si>
    <t>Juan Regatones</t>
  </si>
  <si>
    <t>Carbones Jorge</t>
  </si>
  <si>
    <t>Jorge conexiones</t>
  </si>
  <si>
    <t>MetalGrab</t>
  </si>
  <si>
    <t>Pisos de Goma</t>
  </si>
  <si>
    <t>Uber contador</t>
  </si>
  <si>
    <t>Jorge Carbon</t>
  </si>
  <si>
    <t>Regaplas</t>
  </si>
  <si>
    <t>Naza Obra</t>
  </si>
  <si>
    <t>Argon</t>
  </si>
  <si>
    <t>Varillas de Acero</t>
  </si>
  <si>
    <t>GNC Corsa</t>
  </si>
  <si>
    <t>RESUMEN DE GASTOS</t>
  </si>
  <si>
    <t>Casergom</t>
  </si>
  <si>
    <t>Alemites</t>
  </si>
  <si>
    <t>Pedro</t>
  </si>
  <si>
    <t>CECATTO</t>
  </si>
  <si>
    <t>Ruben Listones</t>
  </si>
  <si>
    <t>Otia</t>
  </si>
  <si>
    <t>Neplastic</t>
  </si>
  <si>
    <t>Fader Plastic</t>
  </si>
  <si>
    <t>Cuota Expo MDQ</t>
  </si>
  <si>
    <t>Cincado</t>
  </si>
  <si>
    <t>Industrias Zeta</t>
  </si>
  <si>
    <t>Monotributo David</t>
  </si>
  <si>
    <t>Combustible Parnet</t>
  </si>
  <si>
    <t>Flete Oring</t>
  </si>
  <si>
    <t>Endosado Alnat</t>
  </si>
  <si>
    <t>Endosado ALU-MAQ</t>
  </si>
  <si>
    <t>Endosado Dahe Piazze</t>
  </si>
  <si>
    <t>Tauro Data</t>
  </si>
  <si>
    <t>Daniel CODIGO</t>
  </si>
  <si>
    <t>Tarjeta Galicia - BUSINESS</t>
  </si>
  <si>
    <t>Resortes Generales</t>
  </si>
  <si>
    <t>Bateria Parnet</t>
  </si>
  <si>
    <t>Metalgrab</t>
  </si>
  <si>
    <t>Jucap</t>
  </si>
  <si>
    <t>Caños Lumina</t>
  </si>
  <si>
    <t>Rober</t>
  </si>
  <si>
    <t>SURPLAS</t>
  </si>
  <si>
    <t>TOBAR</t>
  </si>
  <si>
    <t>Insertos</t>
  </si>
  <si>
    <t>Endosado Neplastic</t>
  </si>
  <si>
    <t>IIBB Enero/26</t>
  </si>
  <si>
    <t>Magazin Bulonero</t>
  </si>
  <si>
    <t>Alnat</t>
  </si>
  <si>
    <t>Devolución dinero Abuela</t>
  </si>
  <si>
    <t>Tecnolam</t>
  </si>
  <si>
    <t>Embolsado de Carbones</t>
  </si>
  <si>
    <t>Gabi consumibles</t>
  </si>
  <si>
    <t>Alcides</t>
  </si>
  <si>
    <t>JL METALES SRL</t>
  </si>
  <si>
    <t>JUCAP</t>
  </si>
  <si>
    <t>ROBER</t>
  </si>
  <si>
    <t>Soldanex</t>
  </si>
  <si>
    <t>Tobar</t>
  </si>
  <si>
    <t>Credifin</t>
  </si>
  <si>
    <t>Baigorria</t>
  </si>
  <si>
    <t>Sueldos</t>
  </si>
  <si>
    <t>Comisiones Mayeski</t>
  </si>
  <si>
    <t>Arreglo Partner</t>
  </si>
  <si>
    <t>Comision Servicio De Cuenta Galicia</t>
  </si>
  <si>
    <t>Selladores Regitak</t>
  </si>
  <si>
    <t>Metales SRL</t>
  </si>
  <si>
    <t>VISA - 9091</t>
  </si>
  <si>
    <t>Combustible</t>
  </si>
  <si>
    <t>Autos</t>
  </si>
  <si>
    <t>Comida</t>
  </si>
  <si>
    <t>Regatones OyR</t>
  </si>
  <si>
    <t>Consumibles (estación de servicio)</t>
  </si>
  <si>
    <t>Alojamiento (San Luis)</t>
  </si>
  <si>
    <t>Desayuno</t>
  </si>
  <si>
    <t>Almuerzo</t>
  </si>
  <si>
    <t>Café</t>
  </si>
  <si>
    <t>Alojamiento (Mendoza)</t>
  </si>
  <si>
    <t>Cena</t>
  </si>
  <si>
    <t>Alfajores</t>
  </si>
  <si>
    <t>Vinos</t>
  </si>
  <si>
    <t>Propina y agua</t>
  </si>
  <si>
    <t>Alojamiento (Unión)</t>
  </si>
  <si>
    <t>Multa de tránsito</t>
  </si>
  <si>
    <t>Vía Cargo (expreso)</t>
  </si>
  <si>
    <t>Listones</t>
  </si>
  <si>
    <t>Gastos Despachante</t>
  </si>
  <si>
    <t>Johana</t>
  </si>
  <si>
    <t>Cambio de Aceite</t>
  </si>
  <si>
    <t>Arreglo Corsa</t>
  </si>
  <si>
    <t>Kloster</t>
  </si>
  <si>
    <t>Vep Importación</t>
  </si>
  <si>
    <t>Getres</t>
  </si>
  <si>
    <t>Industrias LEP</t>
  </si>
  <si>
    <t>Endosado OVNISA</t>
  </si>
  <si>
    <t>OVNISA</t>
  </si>
  <si>
    <t>ALU-MAQ</t>
  </si>
  <si>
    <t>Mat. Obra - Canaleta</t>
  </si>
  <si>
    <t>Skotnica</t>
  </si>
  <si>
    <t>Mat. Obra - Vigas, Chapas</t>
  </si>
  <si>
    <t>CARBONES</t>
  </si>
  <si>
    <t>REGAPLAS</t>
  </si>
  <si>
    <t>CARCCIONE</t>
  </si>
  <si>
    <t>Pastilla Freno Corsa</t>
  </si>
  <si>
    <t>Arreglo Parnet</t>
  </si>
  <si>
    <t>Embolsado Carbones</t>
  </si>
  <si>
    <t>Dahe Diezel</t>
  </si>
  <si>
    <t>Bandeja Fotocopiadora</t>
  </si>
  <si>
    <t>Quinta</t>
  </si>
  <si>
    <t>Agua</t>
  </si>
  <si>
    <t>Moto</t>
  </si>
  <si>
    <t>Gomería</t>
  </si>
  <si>
    <t>Limpieza</t>
  </si>
  <si>
    <t>Aceros inoxidables</t>
  </si>
  <si>
    <t>Marblas</t>
  </si>
  <si>
    <t>Cilio</t>
  </si>
  <si>
    <t>Vische</t>
  </si>
  <si>
    <t>German Recursos</t>
  </si>
  <si>
    <t>Carbones Ivan</t>
  </si>
  <si>
    <t>IIBB Febrero/26</t>
  </si>
  <si>
    <t>IVA Febrero/26</t>
  </si>
  <si>
    <t>Facturado?</t>
  </si>
  <si>
    <t>Nafta Corsa</t>
  </si>
  <si>
    <t>Aceros Munro</t>
  </si>
  <si>
    <t>Selflex</t>
  </si>
  <si>
    <t>METALGRAB</t>
  </si>
  <si>
    <t>COOP. DE TRABAJO UNION Y FUERZA LTDA.</t>
  </si>
  <si>
    <t>Flejes Acero Caseros</t>
  </si>
  <si>
    <t>Claudio Resortes</t>
  </si>
  <si>
    <t>JL METALES</t>
  </si>
  <si>
    <t>Resortes Rober</t>
  </si>
  <si>
    <t>INFORME DE GASTOS POR SEMANA</t>
  </si>
  <si>
    <t>Jorge Conectores</t>
  </si>
  <si>
    <t>Aceros Inoxidables Quilmes</t>
  </si>
  <si>
    <t>Flejes de Acero</t>
  </si>
  <si>
    <t>Articulos de Librería</t>
  </si>
  <si>
    <t>Mat. Obra - Nafta</t>
  </si>
  <si>
    <t>Jose Raffo - Matricero</t>
  </si>
  <si>
    <t>Mat. Obra - Electrodos</t>
  </si>
  <si>
    <t>Alumina</t>
  </si>
  <si>
    <t>Endosado METALGRAB</t>
  </si>
  <si>
    <t>DQ Autopartes</t>
  </si>
  <si>
    <t>Marcelo Oring</t>
  </si>
  <si>
    <t>Mat. Obra</t>
  </si>
  <si>
    <t>Pep - Tecnolam</t>
  </si>
  <si>
    <t>IIBB Marzo/26</t>
  </si>
  <si>
    <t>IVA Marzo/26</t>
  </si>
  <si>
    <t>ALEMITES</t>
  </si>
  <si>
    <t>Pedro Insertos</t>
  </si>
  <si>
    <t>ArgenBroker</t>
  </si>
  <si>
    <t>Mat. Obra - Ladrillos</t>
  </si>
  <si>
    <t>Jorge Plasticos</t>
  </si>
  <si>
    <t>Via Cargo</t>
  </si>
  <si>
    <t>Corsa cambio Aceite</t>
  </si>
  <si>
    <t>Gasto Librería</t>
  </si>
  <si>
    <t>Hotel</t>
  </si>
  <si>
    <t>Surplas</t>
  </si>
  <si>
    <t>Endosado ALNAT</t>
  </si>
  <si>
    <t>Bateria Moura Parnet</t>
  </si>
  <si>
    <t>Hotel Expo</t>
  </si>
  <si>
    <t>Papelera</t>
  </si>
  <si>
    <t>Mecanico Corsa</t>
  </si>
  <si>
    <t>Toner - Cian y magenta</t>
  </si>
  <si>
    <t>Dahe Piazze</t>
  </si>
  <si>
    <t>Endosado Metalgrab</t>
  </si>
  <si>
    <t>IIBB Abril/26</t>
  </si>
  <si>
    <t>Vía cargo</t>
  </si>
  <si>
    <t>Pedro Oring</t>
  </si>
  <si>
    <t>Mat. Obra - Rollo Aislante</t>
  </si>
  <si>
    <t>Goma</t>
  </si>
  <si>
    <t>Alnora Maderas</t>
  </si>
  <si>
    <t>Tudanca</t>
  </si>
  <si>
    <t>.</t>
  </si>
  <si>
    <t>E-che Rebotado</t>
  </si>
  <si>
    <t>NUTHOST - Hosting</t>
  </si>
  <si>
    <t>OK</t>
  </si>
  <si>
    <t>IVA Mayo/26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</si>
</sst>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164" formatCode="mmmm"/>
    <numFmt numFmtId="165" formatCode="_-&quot;$&quot;\ * #,##0_-;\-&quot;$&quot;\ * #,##0_-;_-&quot;$&quot;\ * &quot;-&quot;??_-;_-@_-"/>
    <numFmt numFmtId="166" formatCode="mmmm\ yy"/>
    <numFmt numFmtId="167" formatCode="dd"/>
    <numFmt numFmtId="168" formatCode="[$USD]\ #,##0;\-[$USD]\ #,##0"/>
    <numFmt numFmtId="169" formatCode="[$USD]\ #,##0"/>
    <numFmt numFmtId="170" formatCode="[$USD]\ #,##0.00;\-[$USD]\ #,##0.00"/>
    <numFmt numFmtId="171" formatCode="[$USD]\ #,##0.00"/>
    <numFmt numFmtId="172" formatCode="mmmm\-yy"/>
    <numFmt numFmtId="173" formatCode="yyyy"/>
    <numFmt numFmtId="174" formatCode="0.0%"/>
    <numFmt numFmtId="175" formatCode=";;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color theme="6" tint="-0.24997711111789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9" tint="0.3999755851924192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/>
    <xf numFmtId="0" fontId="5" fillId="0" borderId="0" xfId="0" applyFont="1"/>
    <xf numFmtId="165" fontId="5" fillId="0" borderId="0" xfId="1" applyNumberFormat="1" applyFont="1"/>
    <xf numFmtId="0" fontId="4" fillId="0" borderId="4" xfId="0" applyFont="1" applyBorder="1" applyAlignment="1">
      <alignment horizontal="center"/>
    </xf>
    <xf numFmtId="165" fontId="4" fillId="0" borderId="0" xfId="1" applyNumberFormat="1" applyFont="1" applyBorder="1"/>
    <xf numFmtId="165" fontId="4" fillId="0" borderId="5" xfId="1" applyNumberFormat="1" applyFont="1" applyBorder="1"/>
    <xf numFmtId="0" fontId="4" fillId="0" borderId="6" xfId="0" applyFont="1" applyBorder="1" applyAlignment="1">
      <alignment horizontal="center"/>
    </xf>
    <xf numFmtId="165" fontId="4" fillId="0" borderId="7" xfId="1" applyNumberFormat="1" applyFont="1" applyBorder="1"/>
    <xf numFmtId="0" fontId="4" fillId="0" borderId="7" xfId="0" applyFont="1" applyBorder="1" applyAlignment="1">
      <alignment horizontal="center"/>
    </xf>
    <xf numFmtId="165" fontId="4" fillId="0" borderId="8" xfId="1" applyNumberFormat="1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5" fontId="5" fillId="0" borderId="0" xfId="0" applyNumberFormat="1" applyFont="1"/>
    <xf numFmtId="0" fontId="4" fillId="0" borderId="5" xfId="0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167" fontId="4" fillId="0" borderId="9" xfId="0" applyNumberFormat="1" applyFont="1" applyBorder="1" applyAlignment="1">
      <alignment horizontal="center"/>
    </xf>
    <xf numFmtId="165" fontId="4" fillId="0" borderId="10" xfId="1" applyNumberFormat="1" applyFont="1" applyBorder="1"/>
    <xf numFmtId="165" fontId="4" fillId="0" borderId="11" xfId="1" applyNumberFormat="1" applyFont="1" applyBorder="1"/>
    <xf numFmtId="167" fontId="4" fillId="0" borderId="6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4" fillId="0" borderId="0" xfId="0" applyNumberFormat="1" applyFont="1"/>
    <xf numFmtId="168" fontId="5" fillId="0" borderId="0" xfId="0" applyNumberFormat="1" applyFont="1"/>
    <xf numFmtId="165" fontId="5" fillId="0" borderId="0" xfId="1" applyNumberFormat="1" applyFont="1" applyAlignment="1">
      <alignment horizontal="center"/>
    </xf>
    <xf numFmtId="44" fontId="5" fillId="0" borderId="0" xfId="0" applyNumberFormat="1" applyFont="1"/>
    <xf numFmtId="44" fontId="4" fillId="0" borderId="0" xfId="1" applyFont="1"/>
    <xf numFmtId="169" fontId="4" fillId="0" borderId="0" xfId="1" applyNumberFormat="1" applyFont="1" applyBorder="1" applyAlignment="1">
      <alignment horizontal="center" vertical="center"/>
    </xf>
    <xf numFmtId="169" fontId="4" fillId="0" borderId="0" xfId="1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5" fillId="0" borderId="0" xfId="1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1" applyNumberFormat="1" applyFont="1" applyBorder="1" applyAlignment="1">
      <alignment horizontal="center" vertical="center"/>
    </xf>
    <xf numFmtId="166" fontId="6" fillId="5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5" fontId="5" fillId="0" borderId="0" xfId="1" applyNumberFormat="1" applyFont="1" applyBorder="1"/>
    <xf numFmtId="168" fontId="4" fillId="0" borderId="10" xfId="1" applyNumberFormat="1" applyFont="1" applyBorder="1"/>
    <xf numFmtId="168" fontId="4" fillId="0" borderId="0" xfId="1" applyNumberFormat="1" applyFont="1" applyBorder="1"/>
    <xf numFmtId="168" fontId="4" fillId="0" borderId="7" xfId="1" applyNumberFormat="1" applyFont="1" applyBorder="1"/>
    <xf numFmtId="170" fontId="4" fillId="0" borderId="0" xfId="1" applyNumberFormat="1" applyFont="1" applyBorder="1"/>
    <xf numFmtId="14" fontId="6" fillId="3" borderId="1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71" fontId="4" fillId="0" borderId="0" xfId="1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5" fontId="5" fillId="0" borderId="0" xfId="1" applyNumberFormat="1" applyFont="1" applyAlignment="1">
      <alignment horizontal="center" vertical="center"/>
    </xf>
    <xf numFmtId="0" fontId="5" fillId="6" borderId="0" xfId="0" applyFont="1" applyFill="1" applyAlignment="1">
      <alignment horizontal="center"/>
    </xf>
    <xf numFmtId="44" fontId="5" fillId="6" borderId="0" xfId="0" applyNumberFormat="1" applyFont="1" applyFill="1" applyAlignment="1">
      <alignment horizontal="center"/>
    </xf>
    <xf numFmtId="16" fontId="4" fillId="0" borderId="0" xfId="0" applyNumberFormat="1" applyFont="1" applyAlignment="1">
      <alignment horizontal="center"/>
    </xf>
    <xf numFmtId="165" fontId="4" fillId="6" borderId="0" xfId="1" applyNumberFormat="1" applyFont="1" applyFill="1" applyBorder="1"/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8" borderId="9" xfId="0" applyFont="1" applyFill="1" applyBorder="1" applyAlignment="1" applyProtection="1">
      <alignment horizontal="center" vertical="center"/>
      <protection locked="0"/>
    </xf>
    <xf numFmtId="173" fontId="5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8" fillId="7" borderId="12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5" fontId="8" fillId="7" borderId="14" xfId="0" applyNumberFormat="1" applyFont="1" applyFill="1" applyBorder="1" applyAlignment="1" applyProtection="1">
      <alignment horizontal="center" vertical="center"/>
      <protection locked="0"/>
    </xf>
    <xf numFmtId="165" fontId="8" fillId="7" borderId="15" xfId="0" applyNumberFormat="1" applyFont="1" applyFill="1" applyBorder="1" applyAlignment="1" applyProtection="1">
      <alignment horizontal="center" vertical="center"/>
      <protection locked="0"/>
    </xf>
    <xf numFmtId="1" fontId="5" fillId="9" borderId="0" xfId="0" applyNumberFormat="1" applyFont="1" applyFill="1" applyAlignment="1" applyProtection="1">
      <alignment horizontal="center" vertical="center"/>
      <protection locked="0"/>
    </xf>
    <xf numFmtId="172" fontId="4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14" fontId="4" fillId="0" borderId="0" xfId="0" applyNumberFormat="1" applyFont="1" applyProtection="1"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165" fontId="4" fillId="0" borderId="0" xfId="1" applyNumberFormat="1" applyFont="1" applyProtection="1">
      <protection locked="0"/>
    </xf>
    <xf numFmtId="174" fontId="5" fillId="0" borderId="0" xfId="3" applyNumberFormat="1" applyFont="1" applyFill="1" applyBorder="1" applyAlignment="1" applyProtection="1">
      <alignment horizontal="center"/>
      <protection locked="0"/>
    </xf>
    <xf numFmtId="0" fontId="5" fillId="3" borderId="20" xfId="0" applyFont="1" applyFill="1" applyBorder="1" applyAlignment="1" applyProtection="1">
      <alignment horizontal="center"/>
      <protection locked="0"/>
    </xf>
    <xf numFmtId="44" fontId="4" fillId="0" borderId="0" xfId="1" applyFont="1" applyProtection="1">
      <protection locked="0"/>
    </xf>
    <xf numFmtId="0" fontId="4" fillId="0" borderId="23" xfId="0" applyFont="1" applyBorder="1" applyProtection="1">
      <protection locked="0"/>
    </xf>
    <xf numFmtId="175" fontId="4" fillId="0" borderId="0" xfId="0" applyNumberFormat="1" applyFont="1" applyAlignment="1" applyProtection="1">
      <alignment horizontal="center" vertical="center"/>
      <protection locked="0"/>
    </xf>
    <xf numFmtId="44" fontId="4" fillId="0" borderId="0" xfId="1" applyFont="1" applyProtection="1"/>
    <xf numFmtId="0" fontId="8" fillId="7" borderId="13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5" fontId="8" fillId="7" borderId="22" xfId="0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Protection="1"/>
    <xf numFmtId="165" fontId="4" fillId="0" borderId="0" xfId="1" applyNumberFormat="1" applyFont="1" applyFill="1" applyBorder="1" applyAlignment="1" applyProtection="1">
      <alignment horizontal="center"/>
    </xf>
    <xf numFmtId="165" fontId="4" fillId="0" borderId="0" xfId="0" applyNumberFormat="1" applyFont="1"/>
    <xf numFmtId="0" fontId="4" fillId="0" borderId="16" xfId="0" applyFont="1" applyBorder="1"/>
    <xf numFmtId="165" fontId="4" fillId="0" borderId="17" xfId="1" applyNumberFormat="1" applyFont="1" applyBorder="1" applyProtection="1"/>
    <xf numFmtId="0" fontId="4" fillId="0" borderId="18" xfId="0" applyFont="1" applyBorder="1"/>
    <xf numFmtId="165" fontId="4" fillId="0" borderId="19" xfId="1" applyNumberFormat="1" applyFont="1" applyBorder="1" applyProtection="1"/>
    <xf numFmtId="9" fontId="4" fillId="0" borderId="0" xfId="3" applyFont="1" applyAlignment="1" applyProtection="1">
      <alignment horizontal="center"/>
    </xf>
    <xf numFmtId="165" fontId="4" fillId="0" borderId="0" xfId="1" applyNumberFormat="1" applyFont="1" applyProtection="1"/>
    <xf numFmtId="165" fontId="5" fillId="3" borderId="21" xfId="1" applyNumberFormat="1" applyFont="1" applyFill="1" applyBorder="1" applyProtection="1"/>
    <xf numFmtId="165" fontId="4" fillId="0" borderId="0" xfId="0" applyNumberFormat="1" applyFont="1" applyProtection="1">
      <protection locked="0"/>
    </xf>
    <xf numFmtId="165" fontId="4" fillId="0" borderId="0" xfId="1" applyNumberFormat="1" applyFont="1" applyFill="1" applyBorder="1"/>
    <xf numFmtId="2" fontId="4" fillId="0" borderId="0" xfId="0" applyNumberFormat="1" applyFont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5" fontId="7" fillId="0" borderId="0" xfId="2" applyNumberFormat="1" applyBorder="1" applyAlignment="1">
      <alignment horizontal="center"/>
    </xf>
    <xf numFmtId="0" fontId="4" fillId="0" borderId="0" xfId="0" applyFont="1" applyAlignment="1" applyProtection="1">
      <alignment vertical="center" wrapText="1"/>
      <protection locked="0"/>
    </xf>
    <xf numFmtId="165" fontId="4" fillId="0" borderId="0" xfId="1" applyNumberFormat="1" applyFont="1" applyAlignment="1" applyProtection="1">
      <alignment vertical="center" wrapText="1"/>
    </xf>
    <xf numFmtId="165" fontId="4" fillId="0" borderId="0" xfId="1" applyNumberFormat="1" applyFont="1" applyAlignment="1" applyProtection="1">
      <alignment vertical="center" wrapText="1"/>
      <protection locked="0"/>
    </xf>
    <xf numFmtId="165" fontId="4" fillId="11" borderId="0" xfId="1" applyNumberFormat="1" applyFont="1" applyFill="1" applyProtection="1">
      <protection locked="0"/>
    </xf>
    <xf numFmtId="165" fontId="4" fillId="11" borderId="0" xfId="1" applyNumberFormat="1" applyFont="1" applyFill="1" applyBorder="1" applyProtection="1">
      <protection locked="0"/>
    </xf>
    <xf numFmtId="165" fontId="4" fillId="12" borderId="0" xfId="1" applyNumberFormat="1" applyFont="1" applyFill="1" applyProtection="1">
      <protection locked="0"/>
    </xf>
    <xf numFmtId="20" fontId="4" fillId="0" borderId="0" xfId="0" applyNumberFormat="1" applyFont="1" applyAlignment="1" applyProtection="1">
      <alignment horizontal="center"/>
      <protection locked="0"/>
    </xf>
    <xf numFmtId="44" fontId="0" fillId="0" borderId="0" xfId="1" applyFont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65" fontId="4" fillId="10" borderId="0" xfId="1" applyNumberFormat="1" applyFont="1" applyFill="1" applyProtection="1"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165" fontId="12" fillId="0" borderId="0" xfId="1" applyNumberFormat="1" applyFont="1"/>
    <xf numFmtId="0" fontId="4" fillId="13" borderId="0" xfId="0" applyFont="1" applyFill="1"/>
    <xf numFmtId="165" fontId="4" fillId="13" borderId="0" xfId="1" applyNumberFormat="1" applyFont="1" applyFill="1" applyBorder="1"/>
    <xf numFmtId="0" fontId="4" fillId="13" borderId="0" xfId="0" applyFont="1" applyFill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5" fillId="13" borderId="0" xfId="0" applyFont="1" applyFill="1"/>
    <xf numFmtId="0" fontId="4" fillId="13" borderId="5" xfId="0" applyFont="1" applyFill="1" applyBorder="1"/>
    <xf numFmtId="167" fontId="4" fillId="13" borderId="4" xfId="0" applyNumberFormat="1" applyFont="1" applyFill="1" applyBorder="1" applyAlignment="1">
      <alignment horizontal="center"/>
    </xf>
    <xf numFmtId="165" fontId="5" fillId="13" borderId="0" xfId="1" applyNumberFormat="1" applyFont="1" applyFill="1" applyBorder="1"/>
    <xf numFmtId="170" fontId="4" fillId="13" borderId="0" xfId="1" applyNumberFormat="1" applyFont="1" applyFill="1" applyBorder="1"/>
    <xf numFmtId="0" fontId="4" fillId="13" borderId="0" xfId="1" applyNumberFormat="1" applyFont="1" applyFill="1" applyBorder="1" applyAlignment="1">
      <alignment horizontal="center" vertical="center"/>
    </xf>
    <xf numFmtId="165" fontId="4" fillId="13" borderId="5" xfId="1" applyNumberFormat="1" applyFont="1" applyFill="1" applyBorder="1"/>
    <xf numFmtId="168" fontId="4" fillId="13" borderId="0" xfId="1" applyNumberFormat="1" applyFont="1" applyFill="1" applyBorder="1"/>
    <xf numFmtId="165" fontId="12" fillId="0" borderId="0" xfId="1" applyNumberFormat="1" applyFont="1" applyFill="1" applyBorder="1" applyProtection="1"/>
    <xf numFmtId="171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7" fillId="0" borderId="0" xfId="2" applyNumberFormat="1" applyFill="1" applyBorder="1" applyAlignment="1">
      <alignment horizontal="center"/>
    </xf>
    <xf numFmtId="168" fontId="4" fillId="0" borderId="0" xfId="1" applyNumberFormat="1" applyFont="1" applyFill="1" applyBorder="1"/>
    <xf numFmtId="165" fontId="4" fillId="0" borderId="5" xfId="1" applyNumberFormat="1" applyFont="1" applyFill="1" applyBorder="1"/>
    <xf numFmtId="166" fontId="6" fillId="0" borderId="0" xfId="0" applyNumberFormat="1" applyFont="1" applyAlignment="1">
      <alignment horizontal="center"/>
    </xf>
    <xf numFmtId="165" fontId="4" fillId="0" borderId="0" xfId="1" applyNumberFormat="1" applyFont="1" applyFill="1"/>
    <xf numFmtId="1" fontId="4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/>
    <xf numFmtId="170" fontId="4" fillId="0" borderId="0" xfId="1" applyNumberFormat="1" applyFont="1" applyFill="1" applyBorder="1"/>
    <xf numFmtId="0" fontId="3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165" fontId="5" fillId="0" borderId="0" xfId="0" applyNumberFormat="1" applyFont="1" applyProtection="1">
      <protection locked="0"/>
    </xf>
    <xf numFmtId="0" fontId="4" fillId="0" borderId="0" xfId="0" quotePrefix="1" applyFont="1" applyProtection="1">
      <protection locked="0"/>
    </xf>
    <xf numFmtId="165" fontId="4" fillId="0" borderId="0" xfId="1" applyNumberFormat="1" applyFont="1" applyBorder="1" applyProtection="1"/>
    <xf numFmtId="165" fontId="4" fillId="0" borderId="0" xfId="1" applyNumberFormat="1" applyFont="1" applyAlignment="1" applyProtection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">
    <cellStyle name="Hipervínculo" xfId="2" builtinId="8"/>
    <cellStyle name="Moneda" xfId="1" builtinId="4"/>
    <cellStyle name="Normal" xfId="0" builtinId="0"/>
    <cellStyle name="Porcentaje" xfId="3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"/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&quot;$&quot;\ * #,##0_-;\-&quot;$&quot;\ * #,##0_-;_-&quot;$&quot;\ * &quot;-&quot;??_-;_-@_-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protection locked="0" hidden="0"/>
    </dxf>
    <dxf>
      <border outline="0"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&quot;$&quot;\ * #,##0_-;\-&quot;$&quot;\ * #,##0_-;_-&quot;$&quot;\ 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protection locked="0" hidden="0"/>
    </dxf>
    <dxf>
      <border outline="0"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9" formatCode="dd/mm/yy"/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connections" Target="connection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66E7888-F4F3-4517-A737-119110D4581A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Concepto" tableColumnId="2"/>
      <queryTableField id="3" name="Monto $" tableColumnId="3"/>
      <queryTableField id="4" name="Monto usd" tableColumnId="4"/>
      <queryTableField id="5" name="Pague?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71A8A523-989D-4487-AA22-B28A47F81D7B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Detalle" tableColumnId="2"/>
      <queryTableField id="3" name="Valo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A0604C57-FBF4-4807-8B54-BAA2B60CFC83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Fecha" tableColumnId="1"/>
      <queryTableField id="2" dataBound="0" tableColumnId="2"/>
      <queryTableField id="3" dataBound="0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E37C07-3275-4A8B-A591-6FE12480DE4B}" name="GFijos" displayName="GFijos" ref="E2:I158" tableType="queryTable" totalsRowShown="0" headerRowDxfId="39" dataDxfId="38">
  <autoFilter ref="E2:I158" xr:uid="{5FE37C07-3275-4A8B-A591-6FE12480DE4B}"/>
  <tableColumns count="5">
    <tableColumn id="1" xr3:uid="{D6C5F627-877C-473C-A0EC-2F017BBFF07A}" uniqueName="1" name="Fecha" queryTableFieldId="1" dataDxfId="37"/>
    <tableColumn id="2" xr3:uid="{E26B3483-847F-40D5-AFA3-2C070B7DE6E1}" uniqueName="2" name="Concepto" queryTableFieldId="2" dataDxfId="36"/>
    <tableColumn id="3" xr3:uid="{00FAA1E1-D086-4F68-AFD0-FCDF985BD3C0}" uniqueName="3" name="Monto $" queryTableFieldId="3" dataDxfId="35"/>
    <tableColumn id="4" xr3:uid="{0FEEAF1F-4F23-48CC-95AF-932A04B5F050}" uniqueName="4" name="Monto usd" queryTableFieldId="4" dataDxfId="34"/>
    <tableColumn id="5" xr3:uid="{31BBC099-A320-48C5-A858-D345825A2ED7}" uniqueName="5" name="Pague?" queryTableFieldId="5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FE7E8-F4B1-450E-9A9C-66EAF7DE48DB}" name="Mercaderia" displayName="Mercaderia" ref="K2:N409" totalsRowShown="0" headerRowDxfId="32" dataDxfId="30" headerRowBorderDxfId="31" tableBorderDxfId="29">
  <autoFilter ref="K2:N409" xr:uid="{C8BFE7E8-F4B1-450E-9A9C-66EAF7DE48DB}"/>
  <tableColumns count="4">
    <tableColumn id="1" xr3:uid="{49C209D3-73D7-4B59-9002-862C7B8E00D2}" name="Fecha" dataDxfId="28"/>
    <tableColumn id="2" xr3:uid="{0FF5403D-3F49-4DD2-88BD-5CA45DCA2D29}" name="Proveedor" dataDxfId="27"/>
    <tableColumn id="4" xr3:uid="{4E1AA58D-1AFB-4150-A0EF-BE3821197242}" name="Facturado?" dataDxfId="26"/>
    <tableColumn id="3" xr3:uid="{C3347052-2AB7-4B0D-B87D-4B694330D84C}" name="Importe" dataDxfId="25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AB0F67-524C-4FFF-AEF6-0A7EC277ADD5}" name="GVarios" displayName="GVarios" ref="P2:S250" totalsRowShown="0" headerRowDxfId="24" dataDxfId="22" headerRowBorderDxfId="23" tableBorderDxfId="21">
  <autoFilter ref="P2:S250" xr:uid="{36AB0F67-524C-4FFF-AEF6-0A7EC277ADD5}"/>
  <tableColumns count="4">
    <tableColumn id="1" xr3:uid="{FEFF1D0F-CFEF-40DF-96AF-BA2043D19A37}" name="Fecha" dataDxfId="20"/>
    <tableColumn id="2" xr3:uid="{B9107C6F-1D7E-4DD8-B799-6AADA5C0B23B}" name="Concepto" dataDxfId="19"/>
    <tableColumn id="4" xr3:uid="{9059F8A0-82D0-494D-B796-770F910EE61E}" name="Facturado?" dataDxfId="18"/>
    <tableColumn id="3" xr3:uid="{3EA896CB-60F7-4C2B-B08C-501C2DF6943E}" name="Importe" dataDxfId="17" dataCellStyle="Moneda">
      <calculatedColumnFormula>4500+12000+4000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7D90D-B388-4015-AC75-841DEDA78CF7}" name="Sueldos" displayName="Sueldos" ref="A2:C197" tableType="queryTable" totalsRowShown="0" headerRowDxfId="16" dataDxfId="15">
  <autoFilter ref="A2:C197" xr:uid="{92A7D90D-B388-4015-AC75-841DEDA78CF7}"/>
  <tableColumns count="3">
    <tableColumn id="1" xr3:uid="{6756029C-25E0-4A33-A7CB-82A4691AB243}" uniqueName="1" name="Fecha" queryTableFieldId="1" dataDxfId="14"/>
    <tableColumn id="2" xr3:uid="{766723DD-E89E-4342-8EEA-44308A9C6625}" uniqueName="2" name="Detalle" queryTableFieldId="2" dataDxfId="13"/>
    <tableColumn id="3" xr3:uid="{C67E469E-FE47-4511-AB09-85EB87EBF329}" uniqueName="3" name="Valor" queryTableFieldId="3" dataDxfId="12" dataCellStyle="Moned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FD2948-20C7-4989-A5AB-C212395D5D2E}" name="Sueldos2" displayName="Sueldos2" ref="E2:G28" tableType="queryTable" totalsRowShown="0" headerRowDxfId="11" dataDxfId="10">
  <tableColumns count="3">
    <tableColumn id="1" xr3:uid="{169B3DED-6AE8-4A8A-A6C6-2BEAFC3087E7}" uniqueName="1" name="Fecha" queryTableFieldId="1" dataDxfId="9"/>
    <tableColumn id="2" xr3:uid="{DCEECC40-5AAE-4A3F-B154-B84061A011D8}" uniqueName="2" name="Detalle" queryTableFieldId="2" dataDxfId="8"/>
    <tableColumn id="3" xr3:uid="{64E754ED-16E9-4B0F-9E4E-95AAEDBD3CF0}" uniqueName="3" name="Valor" queryTableFieldId="3" dataDxfId="7" dataCellStyle="Moneda">
      <calculatedColumnFormula>+SUMIFS(Sueldos[Valor],Sueldos[Fecha],Sueldos2[[#This Row],[Fecha]])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D2D8-9EDE-4F77-AD77-AC87E0B36121}">
  <sheetPr codeName="Hoja1"/>
  <dimension ref="A1:HL517"/>
  <sheetViews>
    <sheetView showGridLines="0" zoomScaleNormal="100" workbookViewId="0">
      <pane ySplit="3" topLeftCell="A4" activePane="bottomLeft" state="frozen"/>
      <selection pane="bottomLeft" activeCell="A23" sqref="A23"/>
    </sheetView>
  </sheetViews>
  <sheetFormatPr baseColWidth="10" defaultColWidth="11.42578125" defaultRowHeight="14.25" outlineLevelCol="1" x14ac:dyDescent="0.2"/>
  <cols>
    <col min="1" max="1" width="29.140625" style="1" bestFit="1" customWidth="1"/>
    <col min="2" max="2" width="11.42578125" style="1"/>
    <col min="3" max="3" width="14.5703125" style="1" bestFit="1" customWidth="1"/>
    <col min="4" max="4" width="18.140625" style="24" bestFit="1" customWidth="1"/>
    <col min="5" max="6" width="6.85546875" style="24" customWidth="1"/>
    <col min="7" max="7" width="6.5703125" style="3" bestFit="1" customWidth="1"/>
    <col min="8" max="8" width="15.5703125" style="3" customWidth="1" outlineLevel="1"/>
    <col min="9" max="9" width="29.140625" style="1" customWidth="1" outlineLevel="1"/>
    <col min="10" max="10" width="6.85546875" style="3" customWidth="1" outlineLevel="1"/>
    <col min="11" max="11" width="16.42578125" style="1" customWidth="1" outlineLevel="1"/>
    <col min="12" max="12" width="14.28515625" style="1" customWidth="1" outlineLevel="1"/>
    <col min="13" max="13" width="16.140625" style="1" customWidth="1" outlineLevel="1"/>
    <col min="14" max="14" width="9.140625" style="1" customWidth="1"/>
    <col min="15" max="15" width="3.28515625" style="23" hidden="1" customWidth="1" outlineLevel="1"/>
    <col min="16" max="16" width="17.28515625" style="1" hidden="1" customWidth="1" outlineLevel="1"/>
    <col min="17" max="17" width="14.5703125" style="1" hidden="1" customWidth="1" outlineLevel="1"/>
    <col min="18" max="18" width="3.7109375" style="1" hidden="1" customWidth="1" outlineLevel="1"/>
    <col min="19" max="19" width="3.28515625" style="3" hidden="1" customWidth="1" outlineLevel="1"/>
    <col min="20" max="21" width="14.5703125" style="1" hidden="1" customWidth="1" outlineLevel="1"/>
    <col min="22" max="22" width="3.7109375" style="1" hidden="1" customWidth="1" outlineLevel="1"/>
    <col min="23" max="23" width="3.28515625" style="3" hidden="1" customWidth="1" outlineLevel="1"/>
    <col min="24" max="24" width="16.5703125" style="1" hidden="1" customWidth="1" outlineLevel="1"/>
    <col min="25" max="25" width="14.5703125" style="1" hidden="1" customWidth="1" outlineLevel="1"/>
    <col min="26" max="26" width="3.7109375" style="1" hidden="1" customWidth="1" outlineLevel="1"/>
    <col min="27" max="27" width="3.28515625" style="3" hidden="1" customWidth="1" outlineLevel="1"/>
    <col min="28" max="28" width="15.5703125" style="1" hidden="1" customWidth="1" outlineLevel="1"/>
    <col min="29" max="29" width="14.5703125" style="1" hidden="1" customWidth="1" outlineLevel="1"/>
    <col min="30" max="30" width="3.7109375" style="1" hidden="1" customWidth="1" outlineLevel="1"/>
    <col min="31" max="31" width="3.28515625" style="3" hidden="1" customWidth="1" collapsed="1"/>
    <col min="32" max="32" width="14.42578125" style="1" hidden="1" customWidth="1"/>
    <col min="33" max="33" width="14.5703125" style="1" hidden="1" customWidth="1"/>
    <col min="34" max="34" width="3.7109375" style="1" hidden="1" customWidth="1"/>
    <col min="35" max="35" width="3.28515625" style="3" customWidth="1"/>
    <col min="36" max="36" width="14.28515625" style="1" customWidth="1"/>
    <col min="37" max="37" width="14.5703125" style="1" customWidth="1"/>
    <col min="38" max="38" width="3.7109375" style="1" customWidth="1"/>
    <col min="39" max="39" width="3.28515625" style="3" customWidth="1"/>
    <col min="40" max="41" width="14.5703125" style="1" customWidth="1"/>
    <col min="42" max="42" width="3.7109375" style="1" customWidth="1"/>
    <col min="43" max="43" width="3.42578125" style="1" bestFit="1" customWidth="1"/>
    <col min="44" max="44" width="13.28515625" style="1" customWidth="1"/>
    <col min="45" max="45" width="14.5703125" style="1" customWidth="1"/>
    <col min="46" max="46" width="3.7109375" style="1" customWidth="1"/>
    <col min="47" max="47" width="3.42578125" style="1" bestFit="1" customWidth="1"/>
    <col min="48" max="48" width="13.42578125" style="1" bestFit="1" customWidth="1"/>
    <col min="49" max="49" width="14.5703125" style="1" customWidth="1"/>
    <col min="50" max="50" width="3.7109375" style="1" customWidth="1"/>
    <col min="51" max="51" width="2.5703125" style="1" customWidth="1"/>
    <col min="52" max="52" width="13.28515625" style="1" customWidth="1"/>
    <col min="53" max="53" width="14.5703125" style="1" customWidth="1"/>
    <col min="54" max="54" width="3.7109375" style="1" customWidth="1"/>
    <col min="55" max="55" width="2.5703125" style="1" customWidth="1"/>
    <col min="56" max="56" width="13.28515625" style="1" customWidth="1"/>
    <col min="57" max="57" width="14.5703125" style="1" customWidth="1"/>
    <col min="58" max="58" width="3.7109375" style="1" customWidth="1"/>
    <col min="59" max="59" width="2.5703125" style="1" customWidth="1"/>
    <col min="60" max="60" width="13.28515625" style="1" customWidth="1"/>
    <col min="61" max="61" width="14.5703125" style="1" customWidth="1"/>
    <col min="62" max="62" width="3.7109375" style="1" customWidth="1"/>
    <col min="63" max="63" width="2.5703125" style="1" customWidth="1"/>
    <col min="64" max="64" width="13.28515625" style="1" customWidth="1"/>
    <col min="65" max="65" width="14.5703125" style="1" customWidth="1"/>
    <col min="66" max="66" width="3.7109375" style="1" customWidth="1"/>
    <col min="67" max="67" width="2.5703125" style="1" customWidth="1"/>
    <col min="68" max="68" width="13.28515625" style="1" customWidth="1"/>
    <col min="69" max="69" width="14.5703125" style="1" customWidth="1"/>
    <col min="70" max="70" width="3.7109375" style="1" customWidth="1"/>
    <col min="71" max="71" width="2.5703125" style="1" customWidth="1"/>
    <col min="72" max="72" width="13.28515625" style="1" customWidth="1"/>
    <col min="73" max="73" width="14.5703125" style="1" customWidth="1"/>
    <col min="74" max="74" width="3.7109375" style="1" customWidth="1"/>
    <col min="75" max="75" width="2.5703125" style="1" customWidth="1"/>
    <col min="76" max="77" width="13.28515625" style="1" customWidth="1"/>
    <col min="78" max="78" width="3.7109375" style="1" customWidth="1"/>
    <col min="79" max="79" width="2.5703125" style="1" customWidth="1"/>
    <col min="80" max="81" width="13.28515625" style="1" customWidth="1"/>
    <col min="82" max="82" width="3.7109375" style="1" customWidth="1"/>
    <col min="83" max="83" width="2.5703125" style="1" customWidth="1"/>
    <col min="84" max="85" width="13.28515625" style="1" customWidth="1"/>
    <col min="86" max="86" width="3.7109375" style="1" customWidth="1"/>
    <col min="87" max="87" width="2.5703125" style="1" customWidth="1"/>
    <col min="88" max="89" width="13.28515625" style="1" customWidth="1"/>
    <col min="90" max="90" width="3.7109375" style="1" customWidth="1"/>
    <col min="91" max="214" width="11.42578125" style="1"/>
    <col min="215" max="215" width="39.28515625" style="1" customWidth="1"/>
    <col min="216" max="216" width="11.42578125" style="1"/>
    <col min="217" max="217" width="16.28515625" style="4" bestFit="1" customWidth="1"/>
    <col min="218" max="16384" width="11.42578125" style="1"/>
  </cols>
  <sheetData>
    <row r="1" spans="1:220" ht="18.75" thickBot="1" x14ac:dyDescent="0.3">
      <c r="A1" s="5" t="s">
        <v>36</v>
      </c>
      <c r="C1" s="60" t="s">
        <v>68</v>
      </c>
      <c r="D1" s="61">
        <f ca="1">+SUMIFS(C4:C46,E4:E46,"&lt;&gt;SI")</f>
        <v>13863242.16</v>
      </c>
      <c r="H1" s="160" t="s">
        <v>34</v>
      </c>
      <c r="I1" s="161"/>
      <c r="J1" s="161"/>
      <c r="K1" s="161"/>
      <c r="L1" s="161"/>
      <c r="M1" s="161"/>
      <c r="N1" s="162"/>
      <c r="O1" s="163">
        <v>2025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5"/>
      <c r="AA1" s="166">
        <v>2026</v>
      </c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6">
        <v>2027</v>
      </c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8"/>
    </row>
    <row r="2" spans="1:220" s="2" customFormat="1" ht="15.75" thickBot="1" x14ac:dyDescent="0.3">
      <c r="A2" s="44">
        <v>46143</v>
      </c>
      <c r="B2" s="1"/>
      <c r="C2" s="20">
        <f ca="1">+SUM(C4:C43)</f>
        <v>13215422.16</v>
      </c>
      <c r="D2" s="41">
        <f ca="1">+SUM(D4:D43)</f>
        <v>0</v>
      </c>
      <c r="E2" s="24"/>
      <c r="F2" s="24"/>
      <c r="G2" s="104"/>
      <c r="H2" s="17" t="s">
        <v>33</v>
      </c>
      <c r="I2" s="18" t="s">
        <v>0</v>
      </c>
      <c r="J2" s="18" t="s">
        <v>25</v>
      </c>
      <c r="K2" s="18" t="s">
        <v>5</v>
      </c>
      <c r="L2" s="18" t="s">
        <v>1</v>
      </c>
      <c r="M2" s="18" t="s">
        <v>4</v>
      </c>
      <c r="N2" s="19" t="s">
        <v>2</v>
      </c>
      <c r="O2" s="53" t="s">
        <v>3</v>
      </c>
      <c r="P2" s="54">
        <v>45931</v>
      </c>
      <c r="Q2" s="54" t="s">
        <v>47</v>
      </c>
      <c r="R2" s="55" t="s">
        <v>43</v>
      </c>
      <c r="S2" s="53" t="s">
        <v>3</v>
      </c>
      <c r="T2" s="54">
        <f>+EDATE(P2,1)</f>
        <v>45962</v>
      </c>
      <c r="U2" s="54" t="s">
        <v>47</v>
      </c>
      <c r="V2" s="55" t="s">
        <v>43</v>
      </c>
      <c r="W2" s="53" t="s">
        <v>3</v>
      </c>
      <c r="X2" s="54">
        <f>+EDATE(T2,1)</f>
        <v>45992</v>
      </c>
      <c r="Y2" s="54" t="s">
        <v>47</v>
      </c>
      <c r="Z2" s="55" t="s">
        <v>43</v>
      </c>
      <c r="AA2" s="56" t="s">
        <v>3</v>
      </c>
      <c r="AB2" s="57">
        <f>+EDATE(X2,1)</f>
        <v>46023</v>
      </c>
      <c r="AC2" s="57" t="s">
        <v>47</v>
      </c>
      <c r="AD2" s="58" t="s">
        <v>43</v>
      </c>
      <c r="AE2" s="56" t="s">
        <v>3</v>
      </c>
      <c r="AF2" s="57">
        <f>+EDATE(AB2,1)</f>
        <v>46054</v>
      </c>
      <c r="AG2" s="57" t="s">
        <v>47</v>
      </c>
      <c r="AH2" s="58" t="s">
        <v>43</v>
      </c>
      <c r="AI2" s="56" t="s">
        <v>3</v>
      </c>
      <c r="AJ2" s="57">
        <f>+EDATE(AF2,1)</f>
        <v>46082</v>
      </c>
      <c r="AK2" s="57" t="s">
        <v>47</v>
      </c>
      <c r="AL2" s="58" t="s">
        <v>43</v>
      </c>
      <c r="AM2" s="56" t="s">
        <v>3</v>
      </c>
      <c r="AN2" s="57">
        <f>+EDATE(AJ2,1)</f>
        <v>46113</v>
      </c>
      <c r="AO2" s="57" t="s">
        <v>47</v>
      </c>
      <c r="AP2" s="58" t="s">
        <v>43</v>
      </c>
      <c r="AQ2" s="56" t="s">
        <v>3</v>
      </c>
      <c r="AR2" s="57">
        <f>+EDATE(AN2,1)</f>
        <v>46143</v>
      </c>
      <c r="AS2" s="57" t="s">
        <v>47</v>
      </c>
      <c r="AT2" s="58" t="s">
        <v>43</v>
      </c>
      <c r="AU2" s="56" t="s">
        <v>3</v>
      </c>
      <c r="AV2" s="57">
        <f>+EDATE(AR2,1)</f>
        <v>46174</v>
      </c>
      <c r="AW2" s="57" t="s">
        <v>47</v>
      </c>
      <c r="AX2" s="58" t="s">
        <v>43</v>
      </c>
      <c r="AY2" s="56" t="s">
        <v>3</v>
      </c>
      <c r="AZ2" s="57">
        <f t="shared" ref="AZ2" si="0">+EDATE(AV2,1)</f>
        <v>46204</v>
      </c>
      <c r="BA2" s="57" t="s">
        <v>47</v>
      </c>
      <c r="BB2" s="58" t="s">
        <v>43</v>
      </c>
      <c r="BC2" s="56" t="s">
        <v>3</v>
      </c>
      <c r="BD2" s="57">
        <f>+EDATE(AZ2,1)</f>
        <v>46235</v>
      </c>
      <c r="BE2" s="57" t="s">
        <v>47</v>
      </c>
      <c r="BF2" s="58" t="s">
        <v>43</v>
      </c>
      <c r="BG2" s="56" t="s">
        <v>3</v>
      </c>
      <c r="BH2" s="57">
        <f t="shared" ref="BH2" si="1">+EDATE(BD2,1)</f>
        <v>46266</v>
      </c>
      <c r="BI2" s="57" t="s">
        <v>47</v>
      </c>
      <c r="BJ2" s="58" t="s">
        <v>43</v>
      </c>
      <c r="BK2" s="56" t="s">
        <v>3</v>
      </c>
      <c r="BL2" s="57">
        <f t="shared" ref="BL2" si="2">+EDATE(BH2,1)</f>
        <v>46296</v>
      </c>
      <c r="BM2" s="57" t="s">
        <v>47</v>
      </c>
      <c r="BN2" s="58" t="s">
        <v>43</v>
      </c>
      <c r="BO2" s="56" t="s">
        <v>3</v>
      </c>
      <c r="BP2" s="57">
        <f t="shared" ref="BP2" si="3">+EDATE(BL2,1)</f>
        <v>46327</v>
      </c>
      <c r="BQ2" s="57" t="s">
        <v>47</v>
      </c>
      <c r="BR2" s="58" t="s">
        <v>43</v>
      </c>
      <c r="BS2" s="56" t="s">
        <v>3</v>
      </c>
      <c r="BT2" s="57">
        <f t="shared" ref="BT2" si="4">+EDATE(BP2,1)</f>
        <v>46357</v>
      </c>
      <c r="BU2" s="57" t="s">
        <v>47</v>
      </c>
      <c r="BV2" s="58" t="s">
        <v>43</v>
      </c>
      <c r="BW2" s="56" t="s">
        <v>3</v>
      </c>
      <c r="BX2" s="57">
        <f t="shared" ref="BX2" si="5">+EDATE(BT2,1)</f>
        <v>46388</v>
      </c>
      <c r="BY2" s="57" t="s">
        <v>47</v>
      </c>
      <c r="BZ2" s="58" t="s">
        <v>43</v>
      </c>
      <c r="CA2" s="56" t="s">
        <v>3</v>
      </c>
      <c r="CB2" s="57">
        <f t="shared" ref="CB2" si="6">+EDATE(BX2,1)</f>
        <v>46419</v>
      </c>
      <c r="CC2" s="57" t="s">
        <v>47</v>
      </c>
      <c r="CD2" s="57" t="s">
        <v>43</v>
      </c>
      <c r="CE2" s="56" t="s">
        <v>3</v>
      </c>
      <c r="CF2" s="57">
        <f t="shared" ref="CF2" si="7">+EDATE(CB2,1)</f>
        <v>46447</v>
      </c>
      <c r="CG2" s="57" t="s">
        <v>47</v>
      </c>
      <c r="CH2" s="57" t="s">
        <v>43</v>
      </c>
      <c r="CI2" s="56" t="s">
        <v>3</v>
      </c>
      <c r="CJ2" s="57">
        <f t="shared" ref="CJ2" si="8">+EDATE(CF2,1)</f>
        <v>46478</v>
      </c>
      <c r="CK2" s="57" t="s">
        <v>47</v>
      </c>
      <c r="CL2" s="57" t="s">
        <v>43</v>
      </c>
      <c r="HI2" s="35"/>
    </row>
    <row r="3" spans="1:220" ht="15.75" thickBot="1" x14ac:dyDescent="0.3">
      <c r="A3" s="45" t="s">
        <v>0</v>
      </c>
      <c r="B3" s="46" t="s">
        <v>37</v>
      </c>
      <c r="C3" s="46" t="s">
        <v>49</v>
      </c>
      <c r="D3" s="46" t="s">
        <v>50</v>
      </c>
      <c r="E3" s="46" t="s">
        <v>44</v>
      </c>
      <c r="F3" s="47" t="s">
        <v>51</v>
      </c>
      <c r="G3" s="105" t="s">
        <v>52</v>
      </c>
      <c r="H3" s="7">
        <v>1</v>
      </c>
      <c r="I3" s="1" t="s">
        <v>53</v>
      </c>
      <c r="J3" s="3">
        <v>9</v>
      </c>
      <c r="K3" s="3">
        <v>17</v>
      </c>
      <c r="L3" s="1" t="s">
        <v>10</v>
      </c>
      <c r="M3" s="1" t="s">
        <v>28</v>
      </c>
      <c r="N3" s="14"/>
      <c r="O3" s="27">
        <v>17</v>
      </c>
      <c r="P3" s="28">
        <f>1895155.63-1000000</f>
        <v>895155.62999999989</v>
      </c>
      <c r="Q3" s="49"/>
      <c r="R3" s="29" t="s">
        <v>48</v>
      </c>
      <c r="S3" s="27">
        <v>14</v>
      </c>
      <c r="T3" s="8">
        <f>3039729.01-1500000</f>
        <v>1539729.0099999998</v>
      </c>
      <c r="U3" s="49"/>
      <c r="V3" s="29"/>
      <c r="W3" s="27">
        <v>19</v>
      </c>
      <c r="X3" s="28">
        <v>3732772.7</v>
      </c>
      <c r="Y3" s="49"/>
      <c r="Z3" s="29" t="s">
        <v>48</v>
      </c>
      <c r="AA3" s="27">
        <v>16</v>
      </c>
      <c r="AB3" s="28">
        <v>809334.86</v>
      </c>
      <c r="AC3" s="49"/>
      <c r="AD3" s="29" t="s">
        <v>48</v>
      </c>
      <c r="AE3" s="27">
        <v>13</v>
      </c>
      <c r="AF3" s="28">
        <v>1036086.27</v>
      </c>
      <c r="AG3" s="49"/>
      <c r="AH3" s="29" t="s">
        <v>48</v>
      </c>
      <c r="AI3" s="27">
        <v>13</v>
      </c>
      <c r="AJ3" s="28">
        <v>980078.13</v>
      </c>
      <c r="AK3" s="49"/>
      <c r="AL3" s="29" t="s">
        <v>48</v>
      </c>
      <c r="AM3" s="27">
        <v>17</v>
      </c>
      <c r="AN3" s="28">
        <f>1213387.2</f>
        <v>1213387.2</v>
      </c>
      <c r="AO3" s="49"/>
      <c r="AP3" s="29" t="s">
        <v>48</v>
      </c>
      <c r="AQ3" s="22">
        <v>15</v>
      </c>
      <c r="AR3" s="28">
        <v>993345.68</v>
      </c>
      <c r="AS3" s="49"/>
      <c r="AT3" s="29"/>
      <c r="AU3" s="22">
        <f t="shared" ref="AU3:AU5" si="9">+AQ3</f>
        <v>15</v>
      </c>
      <c r="AV3" s="28"/>
      <c r="AW3" s="49"/>
      <c r="AX3" s="29"/>
      <c r="AY3" s="22">
        <f t="shared" ref="AY3:AY5" si="10">+AU3</f>
        <v>15</v>
      </c>
      <c r="AZ3" s="28"/>
      <c r="BA3" s="49"/>
      <c r="BB3" s="29"/>
      <c r="BC3" s="22">
        <f t="shared" ref="BC3:BC5" si="11">+AY3</f>
        <v>15</v>
      </c>
      <c r="BD3" s="28"/>
      <c r="BE3" s="49"/>
      <c r="BF3" s="29"/>
      <c r="BG3" s="22">
        <f t="shared" ref="BG3:BG5" si="12">+BC3</f>
        <v>15</v>
      </c>
      <c r="BH3" s="28"/>
      <c r="BI3" s="49"/>
      <c r="BJ3" s="29"/>
      <c r="BK3" s="22">
        <f t="shared" ref="BK3:BK5" si="13">+BG3</f>
        <v>15</v>
      </c>
      <c r="BL3" s="28"/>
      <c r="BM3" s="49"/>
      <c r="BN3" s="29"/>
      <c r="BO3" s="22">
        <f t="shared" ref="BO3:BO5" si="14">+BK3</f>
        <v>15</v>
      </c>
      <c r="BP3" s="28"/>
      <c r="BQ3" s="49"/>
      <c r="BR3" s="29"/>
      <c r="BS3" s="22">
        <f t="shared" ref="BS3:BS5" si="15">+BO3</f>
        <v>15</v>
      </c>
      <c r="BT3" s="28"/>
      <c r="BU3" s="49"/>
      <c r="BV3" s="29"/>
      <c r="BW3" s="22">
        <f t="shared" ref="BW3:BW5" si="16">+BS3</f>
        <v>15</v>
      </c>
      <c r="BX3" s="28"/>
      <c r="BY3" s="49"/>
      <c r="BZ3" s="29"/>
      <c r="CA3" s="22">
        <f t="shared" ref="CA3:CA5" si="17">+BW3</f>
        <v>15</v>
      </c>
      <c r="CB3" s="28"/>
      <c r="CC3" s="28"/>
      <c r="CD3" s="49"/>
      <c r="CE3" s="22">
        <f t="shared" ref="CE3:CE5" si="18">+CA3</f>
        <v>15</v>
      </c>
      <c r="CF3" s="28"/>
      <c r="CG3" s="28"/>
      <c r="CH3" s="49"/>
      <c r="CI3" s="27"/>
      <c r="CJ3" s="28"/>
      <c r="CK3" s="28"/>
      <c r="CL3" s="49"/>
      <c r="HG3" s="44">
        <v>45962</v>
      </c>
      <c r="HL3" s="1">
        <f>+IF(ISNUMBER(HG3),ROW(),HL2)</f>
        <v>3</v>
      </c>
    </row>
    <row r="4" spans="1:220" ht="15" x14ac:dyDescent="0.25">
      <c r="A4" s="1" t="str" cm="1">
        <f t="array" aca="1" ref="A4:E31" ca="1">IFERROR(
 _xlfn.LET(
  _xlpm.tabla,$I$3:$BB$43,
  _xlpm.cab,$O$2:$BB$2,
  _xlpm.base,COLUMN($O$2)-COLUMN($I$2)+1,
  _xlpm.k,MATCH($A$2,_xlpm.cab,0),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Monotributo IVAN</v>
      </c>
      <c r="B4" s="42">
        <f ca="1"/>
        <v>1</v>
      </c>
      <c r="C4" s="8">
        <f ca="1"/>
        <v>52280</v>
      </c>
      <c r="D4" s="59" t="str">
        <f ca="1"/>
        <v/>
      </c>
      <c r="E4" s="25" t="str">
        <f ca="1"/>
        <v/>
      </c>
      <c r="F4" s="43" t="str">
        <f t="shared" ref="F4:F71" ca="1" si="19">IF(B4-DAY(TODAY())&lt;0,"",B4-DAY(TODAY()))</f>
        <v/>
      </c>
      <c r="G4" s="106" t="str">
        <f t="shared" ref="G4:G37" ca="1" si="20">IF(A4="","",IFERROR(
  HYPERLINK(
    "#"&amp;ADDRESS(
          MATCH(A4, $I:$I, 0),
          COLUMN($H$1)-1 + MATCH($A$2, $H$2:$CF$2, 0) + 2
        ),
    "Ir"
  ),
  ""
))</f>
        <v>Ir</v>
      </c>
      <c r="H4" s="7">
        <f>+H3+1</f>
        <v>2</v>
      </c>
      <c r="I4" s="1" t="s">
        <v>54</v>
      </c>
      <c r="J4" s="3">
        <v>2</v>
      </c>
      <c r="K4" s="3">
        <v>13</v>
      </c>
      <c r="L4" s="1" t="s">
        <v>10</v>
      </c>
      <c r="M4" s="1" t="s">
        <v>29</v>
      </c>
      <c r="N4" s="14"/>
      <c r="O4" s="22">
        <v>13</v>
      </c>
      <c r="P4" s="8">
        <v>0.01</v>
      </c>
      <c r="Q4" s="52">
        <v>1667.61</v>
      </c>
      <c r="R4" s="9" t="s">
        <v>48</v>
      </c>
      <c r="S4" s="22">
        <v>7</v>
      </c>
      <c r="T4" s="8">
        <v>0.01</v>
      </c>
      <c r="U4" s="52">
        <v>1667.61</v>
      </c>
      <c r="V4" s="9" t="s">
        <v>48</v>
      </c>
      <c r="W4" s="22">
        <v>5</v>
      </c>
      <c r="X4" s="8"/>
      <c r="Y4" s="52">
        <v>26.26</v>
      </c>
      <c r="Z4" s="9"/>
      <c r="AA4" s="22">
        <v>9</v>
      </c>
      <c r="AB4" s="8">
        <v>40000</v>
      </c>
      <c r="AC4" s="52"/>
      <c r="AD4" s="9" t="s">
        <v>48</v>
      </c>
      <c r="AE4" s="22">
        <v>6</v>
      </c>
      <c r="AF4" s="8">
        <v>236.04</v>
      </c>
      <c r="AG4" s="52">
        <v>8.27</v>
      </c>
      <c r="AH4" s="9" t="s">
        <v>48</v>
      </c>
      <c r="AI4" s="22">
        <v>6</v>
      </c>
      <c r="AJ4" s="8"/>
      <c r="AK4" s="52"/>
      <c r="AL4" s="9"/>
      <c r="AM4" s="22">
        <v>6</v>
      </c>
      <c r="AN4" s="8">
        <v>40000</v>
      </c>
      <c r="AO4" s="52"/>
      <c r="AP4" s="9" t="s">
        <v>48</v>
      </c>
      <c r="AQ4" s="22">
        <f t="shared" ref="AQ4" si="21">+AM4</f>
        <v>6</v>
      </c>
      <c r="AR4" s="8"/>
      <c r="AS4" s="52"/>
      <c r="AT4" s="9"/>
      <c r="AU4" s="22">
        <f t="shared" si="9"/>
        <v>6</v>
      </c>
      <c r="AV4" s="8"/>
      <c r="AW4" s="52"/>
      <c r="AX4" s="9"/>
      <c r="AY4" s="22">
        <f t="shared" si="10"/>
        <v>6</v>
      </c>
      <c r="AZ4" s="8"/>
      <c r="BA4" s="52"/>
      <c r="BB4" s="9"/>
      <c r="BC4" s="22">
        <f t="shared" si="11"/>
        <v>6</v>
      </c>
      <c r="BD4" s="8"/>
      <c r="BE4" s="52"/>
      <c r="BF4" s="9"/>
      <c r="BG4" s="22">
        <f t="shared" si="12"/>
        <v>6</v>
      </c>
      <c r="BH4" s="8"/>
      <c r="BI4" s="52"/>
      <c r="BJ4" s="9"/>
      <c r="BK4" s="22">
        <f t="shared" si="13"/>
        <v>6</v>
      </c>
      <c r="BL4" s="8"/>
      <c r="BM4" s="52"/>
      <c r="BN4" s="9"/>
      <c r="BO4" s="22">
        <f t="shared" si="14"/>
        <v>6</v>
      </c>
      <c r="BP4" s="8"/>
      <c r="BQ4" s="52"/>
      <c r="BR4" s="9"/>
      <c r="BS4" s="22">
        <f t="shared" si="15"/>
        <v>6</v>
      </c>
      <c r="BT4" s="8"/>
      <c r="BU4" s="52"/>
      <c r="BV4" s="9"/>
      <c r="BW4" s="22">
        <f t="shared" si="16"/>
        <v>6</v>
      </c>
      <c r="BX4" s="8"/>
      <c r="BY4" s="52"/>
      <c r="BZ4" s="9"/>
      <c r="CA4" s="22">
        <f t="shared" si="17"/>
        <v>6</v>
      </c>
      <c r="CB4" s="8"/>
      <c r="CC4" s="8"/>
      <c r="CD4" s="52"/>
      <c r="CE4" s="22">
        <f t="shared" si="18"/>
        <v>6</v>
      </c>
      <c r="CF4" s="8"/>
      <c r="CG4" s="8"/>
      <c r="CH4" s="52"/>
      <c r="CI4" s="22"/>
      <c r="CJ4" s="8"/>
      <c r="CK4" s="8"/>
      <c r="CL4" s="52"/>
      <c r="FF4" s="44">
        <v>45931</v>
      </c>
      <c r="HF4" s="23" cm="1">
        <f t="array" aca="1" ref="HF4" ca="1">IFERROR(IF(HI4="","",TEXT(DAY(HH4)&amp;"/"&amp;MONTH(INDIRECT("HG"&amp;HL4))&amp;"/"&amp;YEAR(INDIRECT("HG"&amp;HL4))+0,"DD/MM/YYYY"))+0,"")</f>
        <v>45962</v>
      </c>
      <c r="HG4" s="1" t="str" cm="1">
        <f t="array" aca="1" ref="HG4:HK39" ca="1">IFERROR(
 _xlfn.LET(
  _xlpm.tabla,$I$3:$BB$43,
  _xlpm.cab,$O$2:$BB$2,
  _xlpm.base,COLUMN($O$2)-COLUMN($I$2)+1,
  _xlpm.k,MATCH(HG3,_xlpm.cab,0),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Movistar</v>
      </c>
      <c r="HH4" s="1">
        <f ca="1"/>
        <v>1</v>
      </c>
      <c r="HI4" s="4">
        <f ca="1"/>
        <v>16388.04</v>
      </c>
      <c r="HJ4" s="1" t="str">
        <f ca="1"/>
        <v/>
      </c>
      <c r="HK4" s="1" t="str">
        <f ca="1"/>
        <v/>
      </c>
      <c r="HL4" s="1">
        <f t="shared" ref="HL4:HL68" ca="1" si="22">+IF(ISNUMBER(HG4),ROW(),HL3)</f>
        <v>3</v>
      </c>
    </row>
    <row r="5" spans="1:220" ht="15" x14ac:dyDescent="0.25">
      <c r="A5" s="1" t="str">
        <f ca="1"/>
        <v>Monotributo Mayeski</v>
      </c>
      <c r="B5" s="42">
        <f ca="1"/>
        <v>1</v>
      </c>
      <c r="C5" s="8">
        <f ca="1"/>
        <v>52280</v>
      </c>
      <c r="D5" s="59" t="str">
        <f ca="1"/>
        <v/>
      </c>
      <c r="E5" s="25" t="str">
        <f ca="1"/>
        <v/>
      </c>
      <c r="F5" s="43" t="str">
        <f t="shared" ca="1" si="19"/>
        <v/>
      </c>
      <c r="G5" s="106" t="str">
        <f t="shared" ca="1" si="20"/>
        <v>Ir</v>
      </c>
      <c r="H5" s="7">
        <f t="shared" ref="H5:H42" si="23">+H4+1</f>
        <v>3</v>
      </c>
      <c r="I5" s="1" t="s">
        <v>55</v>
      </c>
      <c r="J5" s="3">
        <v>24</v>
      </c>
      <c r="K5" s="3">
        <v>3</v>
      </c>
      <c r="L5" s="1" t="s">
        <v>6</v>
      </c>
      <c r="M5" s="1" t="s">
        <v>26</v>
      </c>
      <c r="N5" s="14"/>
      <c r="O5" s="22">
        <v>6</v>
      </c>
      <c r="P5" s="48">
        <f>4775005.36-3048234.88</f>
        <v>1726770.4800000004</v>
      </c>
      <c r="Q5" s="52">
        <v>7116</v>
      </c>
      <c r="R5" s="9" t="s">
        <v>48</v>
      </c>
      <c r="S5" s="22">
        <v>3</v>
      </c>
      <c r="T5" s="8">
        <v>654000</v>
      </c>
      <c r="U5" s="52">
        <v>311</v>
      </c>
      <c r="V5" s="9" t="s">
        <v>48</v>
      </c>
      <c r="W5" s="22">
        <v>3</v>
      </c>
      <c r="X5" s="8">
        <v>1384504.29</v>
      </c>
      <c r="Y5" s="52">
        <v>629.66999999999996</v>
      </c>
      <c r="Z5" s="9" t="s">
        <v>48</v>
      </c>
      <c r="AA5" s="22">
        <v>2</v>
      </c>
      <c r="AB5" s="8">
        <f>1201450.6-212139.1+705375</f>
        <v>1694686.5</v>
      </c>
      <c r="AC5" s="52"/>
      <c r="AD5" s="9" t="s">
        <v>48</v>
      </c>
      <c r="AE5" s="22">
        <v>2</v>
      </c>
      <c r="AF5" s="8">
        <f>1269783.56-208287.95+712950</f>
        <v>1774445.61</v>
      </c>
      <c r="AG5" s="52"/>
      <c r="AH5" s="9" t="s">
        <v>48</v>
      </c>
      <c r="AI5" s="22">
        <v>2</v>
      </c>
      <c r="AJ5" s="8">
        <f>824840-127193.74+380000</f>
        <v>1077646.26</v>
      </c>
      <c r="AK5" s="52"/>
      <c r="AL5" s="9" t="s">
        <v>48</v>
      </c>
      <c r="AM5" s="22">
        <v>1</v>
      </c>
      <c r="AN5" s="8">
        <v>717341</v>
      </c>
      <c r="AO5" s="52"/>
      <c r="AP5" s="9" t="s">
        <v>48</v>
      </c>
      <c r="AQ5" s="22">
        <v>4</v>
      </c>
      <c r="AR5" s="8">
        <v>572116.25</v>
      </c>
      <c r="AS5" s="52"/>
      <c r="AT5" s="9" t="s">
        <v>299</v>
      </c>
      <c r="AU5" s="22">
        <f t="shared" si="9"/>
        <v>4</v>
      </c>
      <c r="AV5" s="8"/>
      <c r="AW5" s="52"/>
      <c r="AX5" s="9"/>
      <c r="AY5" s="22">
        <f t="shared" si="10"/>
        <v>4</v>
      </c>
      <c r="AZ5" s="8"/>
      <c r="BA5" s="52"/>
      <c r="BB5" s="9"/>
      <c r="BC5" s="22">
        <f t="shared" si="11"/>
        <v>4</v>
      </c>
      <c r="BD5" s="8"/>
      <c r="BE5" s="52"/>
      <c r="BF5" s="9"/>
      <c r="BG5" s="22">
        <f t="shared" si="12"/>
        <v>4</v>
      </c>
      <c r="BH5" s="8"/>
      <c r="BI5" s="52"/>
      <c r="BJ5" s="9"/>
      <c r="BK5" s="22">
        <f t="shared" si="13"/>
        <v>4</v>
      </c>
      <c r="BL5" s="8"/>
      <c r="BM5" s="52"/>
      <c r="BN5" s="9"/>
      <c r="BO5" s="22">
        <f t="shared" si="14"/>
        <v>4</v>
      </c>
      <c r="BP5" s="8"/>
      <c r="BQ5" s="52"/>
      <c r="BR5" s="9"/>
      <c r="BS5" s="22">
        <f t="shared" si="15"/>
        <v>4</v>
      </c>
      <c r="BT5" s="8"/>
      <c r="BU5" s="52"/>
      <c r="BV5" s="9"/>
      <c r="BW5" s="22">
        <f t="shared" si="16"/>
        <v>4</v>
      </c>
      <c r="BX5" s="8"/>
      <c r="BY5" s="52"/>
      <c r="BZ5" s="9"/>
      <c r="CA5" s="22">
        <f t="shared" si="17"/>
        <v>4</v>
      </c>
      <c r="CB5" s="8"/>
      <c r="CC5" s="8"/>
      <c r="CD5" s="52"/>
      <c r="CE5" s="22">
        <f t="shared" si="18"/>
        <v>4</v>
      </c>
      <c r="CF5" s="8"/>
      <c r="CG5" s="8"/>
      <c r="CH5" s="52"/>
      <c r="CI5" s="22"/>
      <c r="CJ5" s="8"/>
      <c r="CK5" s="8"/>
      <c r="CL5" s="52"/>
      <c r="FF5" s="44">
        <f>+EDATE(FF4,1)</f>
        <v>45962</v>
      </c>
      <c r="HF5" s="23" cm="1">
        <f t="array" aca="1" ref="HF5" ca="1">IFERROR(IF(HI5="","",TEXT(DAY(HH5)&amp;"/"&amp;MONTH(INDIRECT("HG"&amp;HL5))&amp;"/"&amp;YEAR(INDIRECT("HG"&amp;HL5))+0,"DD/MM/YYYY"))+0,"")</f>
        <v>45963</v>
      </c>
      <c r="HG5" s="1" t="str">
        <f ca="1"/>
        <v>Aseg. Motovehicular</v>
      </c>
      <c r="HH5" s="1">
        <f ca="1"/>
        <v>2</v>
      </c>
      <c r="HI5" s="4">
        <f ca="1"/>
        <v>112300.02</v>
      </c>
      <c r="HJ5" s="1" t="str">
        <f ca="1"/>
        <v/>
      </c>
      <c r="HK5" s="1" t="str">
        <f ca="1"/>
        <v/>
      </c>
      <c r="HL5" s="1">
        <f t="shared" ca="1" si="22"/>
        <v>3</v>
      </c>
    </row>
    <row r="6" spans="1:220" ht="15" x14ac:dyDescent="0.25">
      <c r="A6" s="1" t="str">
        <f ca="1"/>
        <v>Monotributo David</v>
      </c>
      <c r="B6" s="42">
        <f ca="1"/>
        <v>1</v>
      </c>
      <c r="C6" s="8">
        <f ca="1"/>
        <v>42246</v>
      </c>
      <c r="D6" s="59" t="str">
        <f ca="1"/>
        <v/>
      </c>
      <c r="E6" s="3" t="str">
        <f ca="1"/>
        <v/>
      </c>
      <c r="F6" s="43" t="str">
        <f t="shared" ca="1" si="19"/>
        <v/>
      </c>
      <c r="G6" s="106" t="str">
        <f t="shared" ca="1" si="20"/>
        <v>Ir</v>
      </c>
      <c r="H6" s="7">
        <f t="shared" si="23"/>
        <v>4</v>
      </c>
      <c r="I6" s="1" t="s">
        <v>56</v>
      </c>
      <c r="J6" s="3">
        <v>23</v>
      </c>
      <c r="K6" s="3">
        <v>3</v>
      </c>
      <c r="L6" s="1" t="s">
        <v>6</v>
      </c>
      <c r="M6" s="1" t="s">
        <v>27</v>
      </c>
      <c r="N6" s="14"/>
      <c r="O6" s="22">
        <v>6</v>
      </c>
      <c r="P6" s="8">
        <v>0.1</v>
      </c>
      <c r="Q6" s="52">
        <v>456</v>
      </c>
      <c r="R6" s="9" t="s">
        <v>48</v>
      </c>
      <c r="S6" s="22">
        <v>3</v>
      </c>
      <c r="T6" s="8"/>
      <c r="U6" s="52"/>
      <c r="V6" s="9"/>
      <c r="W6" s="22">
        <v>3</v>
      </c>
      <c r="X6" s="8"/>
      <c r="Y6" s="52"/>
      <c r="Z6" s="9"/>
      <c r="AA6" s="22"/>
      <c r="AB6" s="8"/>
      <c r="AC6" s="52"/>
      <c r="AD6" s="9"/>
      <c r="AE6" s="22"/>
      <c r="AF6" s="8"/>
      <c r="AG6" s="52"/>
      <c r="AH6" s="9"/>
      <c r="AI6" s="22"/>
      <c r="AJ6" s="8"/>
      <c r="AK6" s="52"/>
      <c r="AL6" s="9"/>
      <c r="AM6" s="22"/>
      <c r="AN6" s="8"/>
      <c r="AO6" s="52"/>
      <c r="AP6" s="9"/>
      <c r="AQ6" s="22"/>
      <c r="AR6" s="8"/>
      <c r="AS6" s="52"/>
      <c r="AT6" s="9"/>
      <c r="AU6" s="22"/>
      <c r="AV6" s="8"/>
      <c r="AW6" s="52"/>
      <c r="AX6" s="9"/>
      <c r="AY6" s="22"/>
      <c r="AZ6" s="8"/>
      <c r="BA6" s="52"/>
      <c r="BB6" s="9"/>
      <c r="BC6" s="22"/>
      <c r="BD6" s="8"/>
      <c r="BE6" s="52"/>
      <c r="BF6" s="9"/>
      <c r="BG6" s="22"/>
      <c r="BH6" s="8"/>
      <c r="BI6" s="52"/>
      <c r="BJ6" s="9"/>
      <c r="BK6" s="22"/>
      <c r="BL6" s="8"/>
      <c r="BM6" s="52"/>
      <c r="BN6" s="9"/>
      <c r="BO6" s="22"/>
      <c r="BP6" s="8"/>
      <c r="BQ6" s="52"/>
      <c r="BR6" s="9"/>
      <c r="BS6" s="22"/>
      <c r="BT6" s="8"/>
      <c r="BU6" s="52"/>
      <c r="BV6" s="9"/>
      <c r="BW6" s="22"/>
      <c r="BX6" s="8"/>
      <c r="BY6" s="52"/>
      <c r="BZ6" s="9"/>
      <c r="CA6" s="22"/>
      <c r="CB6" s="8"/>
      <c r="CC6" s="8"/>
      <c r="CD6" s="52"/>
      <c r="CE6" s="22"/>
      <c r="CF6" s="8"/>
      <c r="CG6" s="8"/>
      <c r="CH6" s="52"/>
      <c r="CI6" s="22"/>
      <c r="CJ6" s="8"/>
      <c r="CK6" s="8"/>
      <c r="CL6" s="52"/>
      <c r="FF6" s="44">
        <f t="shared" ref="FF6:FF48" si="24">+EDATE(FF5,1)</f>
        <v>45992</v>
      </c>
      <c r="HF6" s="23" cm="1">
        <f t="array" aca="1" ref="HF6" ca="1">IFERROR(IF(HI6="","",TEXT(DAY(HH6)&amp;"/"&amp;MONTH(INDIRECT("HG"&amp;HL6))&amp;"/"&amp;YEAR(INDIRECT("HG"&amp;HL6))+0,"DD/MM/YYYY"))+0,"")</f>
        <v>45963</v>
      </c>
      <c r="HG6" s="1" t="str">
        <f ca="1"/>
        <v>Personal Flow</v>
      </c>
      <c r="HH6" s="1">
        <f ca="1"/>
        <v>2</v>
      </c>
      <c r="HI6" s="4">
        <f ca="1"/>
        <v>71670</v>
      </c>
      <c r="HJ6" s="1" t="str">
        <f ca="1"/>
        <v/>
      </c>
      <c r="HK6" s="1" t="str">
        <f ca="1"/>
        <v/>
      </c>
      <c r="HL6" s="1">
        <f t="shared" ca="1" si="22"/>
        <v>3</v>
      </c>
    </row>
    <row r="7" spans="1:220" ht="15" x14ac:dyDescent="0.25">
      <c r="A7" s="1" t="str">
        <f ca="1"/>
        <v>Movistar</v>
      </c>
      <c r="B7" s="42">
        <f ca="1"/>
        <v>1</v>
      </c>
      <c r="C7" s="8">
        <f ca="1"/>
        <v>10350</v>
      </c>
      <c r="D7" s="59" t="str">
        <f ca="1"/>
        <v/>
      </c>
      <c r="E7" s="3" t="str">
        <f ca="1"/>
        <v/>
      </c>
      <c r="F7" s="43" t="str">
        <f t="shared" ca="1" si="19"/>
        <v/>
      </c>
      <c r="G7" s="106" t="str">
        <f t="shared" ca="1" si="20"/>
        <v>Ir</v>
      </c>
      <c r="H7" s="7">
        <f t="shared" si="23"/>
        <v>5</v>
      </c>
      <c r="I7" s="1" t="s">
        <v>57</v>
      </c>
      <c r="J7" s="3">
        <v>2</v>
      </c>
      <c r="K7" s="3">
        <v>13</v>
      </c>
      <c r="L7" s="1" t="s">
        <v>7</v>
      </c>
      <c r="M7" s="1" t="s">
        <v>31</v>
      </c>
      <c r="N7" s="14"/>
      <c r="O7" s="22">
        <v>13</v>
      </c>
      <c r="P7" s="8">
        <f>3496472.76-1039065.2+(187.7*1520)</f>
        <v>2742711.5599999996</v>
      </c>
      <c r="Q7" s="52"/>
      <c r="R7" s="9"/>
      <c r="S7" s="22">
        <v>7</v>
      </c>
      <c r="T7" s="8">
        <f>4707227.9-1018453-1688775</f>
        <v>1999999.9000000004</v>
      </c>
      <c r="U7" s="52"/>
      <c r="V7" s="9"/>
      <c r="W7" s="22">
        <v>5</v>
      </c>
      <c r="X7" s="65">
        <f>5293603.65-560000-1039533.72</f>
        <v>3694069.9300000006</v>
      </c>
      <c r="Y7" s="52">
        <f>131.44-131.44</f>
        <v>0</v>
      </c>
      <c r="Z7" s="9"/>
      <c r="AA7" s="22">
        <v>9</v>
      </c>
      <c r="AB7" s="102">
        <f>1010000+288535</f>
        <v>1298535</v>
      </c>
      <c r="AC7" s="52"/>
      <c r="AD7" s="9" t="s">
        <v>48</v>
      </c>
      <c r="AE7" s="22">
        <v>6</v>
      </c>
      <c r="AF7" s="102">
        <f>7057409.57-72893+353000</f>
        <v>7337516.5700000003</v>
      </c>
      <c r="AG7" s="52"/>
      <c r="AH7" s="9" t="s">
        <v>48</v>
      </c>
      <c r="AI7" s="22">
        <v>6</v>
      </c>
      <c r="AJ7" s="8">
        <f>1000510.97+740000</f>
        <v>1740510.97</v>
      </c>
      <c r="AK7" s="52"/>
      <c r="AL7" s="9" t="s">
        <v>48</v>
      </c>
      <c r="AM7" s="22">
        <v>8</v>
      </c>
      <c r="AN7" s="8">
        <v>1358053.78</v>
      </c>
      <c r="AO7" s="52">
        <v>50.42</v>
      </c>
      <c r="AP7" s="9" t="s">
        <v>48</v>
      </c>
      <c r="AQ7" s="22">
        <f>+AM7</f>
        <v>8</v>
      </c>
      <c r="AR7" s="8">
        <v>1763089.41</v>
      </c>
      <c r="AS7" s="52"/>
      <c r="AT7" s="9"/>
      <c r="AU7" s="22">
        <f>+AQ7</f>
        <v>8</v>
      </c>
      <c r="AV7" s="8"/>
      <c r="AW7" s="52"/>
      <c r="AX7" s="9"/>
      <c r="AY7" s="22">
        <f>+AU7</f>
        <v>8</v>
      </c>
      <c r="AZ7" s="8"/>
      <c r="BA7" s="52"/>
      <c r="BB7" s="9"/>
      <c r="BC7" s="22">
        <f>+AY7</f>
        <v>8</v>
      </c>
      <c r="BD7" s="8"/>
      <c r="BE7" s="52"/>
      <c r="BF7" s="9"/>
      <c r="BG7" s="22">
        <f>+BC7</f>
        <v>8</v>
      </c>
      <c r="BH7" s="8"/>
      <c r="BI7" s="52"/>
      <c r="BJ7" s="9"/>
      <c r="BK7" s="22">
        <f>+BG7</f>
        <v>8</v>
      </c>
      <c r="BL7" s="8"/>
      <c r="BM7" s="52"/>
      <c r="BN7" s="9"/>
      <c r="BO7" s="22">
        <f>+BK7</f>
        <v>8</v>
      </c>
      <c r="BP7" s="8"/>
      <c r="BQ7" s="52"/>
      <c r="BR7" s="9"/>
      <c r="BS7" s="22">
        <f>+BO7</f>
        <v>8</v>
      </c>
      <c r="BT7" s="8"/>
      <c r="BU7" s="52"/>
      <c r="BV7" s="9"/>
      <c r="BW7" s="22">
        <f>+BS7</f>
        <v>8</v>
      </c>
      <c r="BX7" s="8"/>
      <c r="BY7" s="52"/>
      <c r="BZ7" s="9"/>
      <c r="CA7" s="22">
        <f>+BW7</f>
        <v>8</v>
      </c>
      <c r="CB7" s="8"/>
      <c r="CC7" s="8"/>
      <c r="CD7" s="52"/>
      <c r="CE7" s="22">
        <f>+CA7</f>
        <v>8</v>
      </c>
      <c r="CF7" s="8"/>
      <c r="CG7" s="8"/>
      <c r="CH7" s="52"/>
      <c r="CI7" s="22"/>
      <c r="CJ7" s="8"/>
      <c r="CK7" s="8"/>
      <c r="CL7" s="52"/>
      <c r="FF7" s="44">
        <f t="shared" si="24"/>
        <v>46023</v>
      </c>
      <c r="HF7" s="23" cm="1">
        <f t="array" aca="1" ref="HF7" ca="1">IFERROR(IF(HI7="","",TEXT(DAY(HH7)&amp;"/"&amp;MONTH(INDIRECT("HG"&amp;HL7))&amp;"/"&amp;YEAR(INDIRECT("HG"&amp;HL7))+0,"DD/MM/YYYY"))+0,"")</f>
        <v>45964</v>
      </c>
      <c r="HG7" s="1" t="str">
        <f ca="1"/>
        <v>Tarjeta Galicia - VISA</v>
      </c>
      <c r="HH7" s="1">
        <f ca="1"/>
        <v>3</v>
      </c>
      <c r="HI7" s="4">
        <f ca="1"/>
        <v>654000</v>
      </c>
      <c r="HJ7" s="1">
        <f ca="1"/>
        <v>311</v>
      </c>
      <c r="HK7" s="1" t="str">
        <f ca="1"/>
        <v>SI</v>
      </c>
      <c r="HL7" s="1">
        <f t="shared" ca="1" si="22"/>
        <v>3</v>
      </c>
    </row>
    <row r="8" spans="1:220" ht="15" x14ac:dyDescent="0.25">
      <c r="A8" s="1" t="str">
        <f ca="1"/>
        <v>Victoria Seguros</v>
      </c>
      <c r="B8" s="42">
        <f ca="1"/>
        <v>1</v>
      </c>
      <c r="C8" s="8">
        <f ca="1"/>
        <v>123878</v>
      </c>
      <c r="D8" s="59" t="str">
        <f ca="1"/>
        <v/>
      </c>
      <c r="E8" s="3" t="str">
        <f ca="1"/>
        <v/>
      </c>
      <c r="F8" s="43" t="str">
        <f t="shared" ca="1" si="19"/>
        <v/>
      </c>
      <c r="G8" s="106" t="str">
        <f t="shared" ca="1" si="20"/>
        <v>Ir</v>
      </c>
      <c r="H8" s="7">
        <f t="shared" si="23"/>
        <v>6</v>
      </c>
      <c r="I8" s="1" t="s">
        <v>58</v>
      </c>
      <c r="J8" s="3">
        <v>2</v>
      </c>
      <c r="K8" s="3">
        <v>13</v>
      </c>
      <c r="L8" s="1" t="s">
        <v>7</v>
      </c>
      <c r="M8" s="1" t="s">
        <v>32</v>
      </c>
      <c r="N8" s="14"/>
      <c r="O8" s="22">
        <v>13</v>
      </c>
      <c r="P8" s="8">
        <v>18815</v>
      </c>
      <c r="Q8" s="52"/>
      <c r="R8" s="9" t="s">
        <v>48</v>
      </c>
      <c r="S8" s="22">
        <v>10</v>
      </c>
      <c r="T8" s="8">
        <v>40750</v>
      </c>
      <c r="U8" s="52"/>
      <c r="V8" s="9" t="s">
        <v>48</v>
      </c>
      <c r="W8" s="22">
        <v>12</v>
      </c>
      <c r="X8" s="8">
        <v>40749</v>
      </c>
      <c r="Y8" s="52"/>
      <c r="Z8" s="9" t="s">
        <v>48</v>
      </c>
      <c r="AA8" s="22"/>
      <c r="AB8" s="8"/>
      <c r="AC8" s="52"/>
      <c r="AD8" s="9"/>
      <c r="AE8" s="22">
        <v>9</v>
      </c>
      <c r="AF8" s="8">
        <v>41238.629999999997</v>
      </c>
      <c r="AG8" s="52"/>
      <c r="AH8" s="9" t="s">
        <v>48</v>
      </c>
      <c r="AI8" s="22">
        <v>9</v>
      </c>
      <c r="AJ8" s="8">
        <v>41238</v>
      </c>
      <c r="AK8" s="52"/>
      <c r="AL8" s="9" t="s">
        <v>48</v>
      </c>
      <c r="AM8" s="22">
        <v>9</v>
      </c>
      <c r="AN8" s="8">
        <v>41238.629999999997</v>
      </c>
      <c r="AO8" s="52"/>
      <c r="AP8" s="9" t="s">
        <v>48</v>
      </c>
      <c r="AQ8" s="22">
        <f>+AM8</f>
        <v>9</v>
      </c>
      <c r="AR8" s="8">
        <v>40749</v>
      </c>
      <c r="AS8" s="52"/>
      <c r="AT8" s="9"/>
      <c r="AU8" s="22">
        <f>+AQ8</f>
        <v>9</v>
      </c>
      <c r="AV8" s="8"/>
      <c r="AW8" s="52"/>
      <c r="AX8" s="9"/>
      <c r="AY8" s="22">
        <f>+AU8</f>
        <v>9</v>
      </c>
      <c r="AZ8" s="8"/>
      <c r="BA8" s="52"/>
      <c r="BB8" s="9"/>
      <c r="BC8" s="22">
        <f>+AY8</f>
        <v>9</v>
      </c>
      <c r="BD8" s="8"/>
      <c r="BE8" s="52"/>
      <c r="BF8" s="9"/>
      <c r="BG8" s="22">
        <f>+BC8</f>
        <v>9</v>
      </c>
      <c r="BH8" s="8"/>
      <c r="BI8" s="52"/>
      <c r="BJ8" s="9"/>
      <c r="BK8" s="22">
        <f>+BG8</f>
        <v>9</v>
      </c>
      <c r="BL8" s="8"/>
      <c r="BM8" s="52"/>
      <c r="BN8" s="9"/>
      <c r="BO8" s="22">
        <f>+BK8</f>
        <v>9</v>
      </c>
      <c r="BP8" s="8"/>
      <c r="BQ8" s="52"/>
      <c r="BR8" s="9"/>
      <c r="BS8" s="22">
        <f>+BO8</f>
        <v>9</v>
      </c>
      <c r="BT8" s="8"/>
      <c r="BU8" s="52"/>
      <c r="BV8" s="9"/>
      <c r="BW8" s="22">
        <f>+BS8</f>
        <v>9</v>
      </c>
      <c r="BX8" s="8"/>
      <c r="BY8" s="52"/>
      <c r="BZ8" s="9"/>
      <c r="CA8" s="22">
        <f>+BW8</f>
        <v>9</v>
      </c>
      <c r="CB8" s="8"/>
      <c r="CC8" s="8"/>
      <c r="CD8" s="52"/>
      <c r="CE8" s="22">
        <f>+CA8</f>
        <v>9</v>
      </c>
      <c r="CF8" s="8"/>
      <c r="CG8" s="8"/>
      <c r="CH8" s="52"/>
      <c r="CI8" s="22"/>
      <c r="CJ8" s="8"/>
      <c r="CK8" s="8"/>
      <c r="CL8" s="52"/>
      <c r="FF8" s="44">
        <f t="shared" si="24"/>
        <v>46054</v>
      </c>
      <c r="HF8" s="23" cm="1">
        <f t="array" aca="1" ref="HF8" ca="1">IFERROR(IF(HI8="","",TEXT(DAY(HH8)&amp;"/"&amp;MONTH(INDIRECT("HG"&amp;HL8))&amp;"/"&amp;YEAR(INDIRECT("HG"&amp;HL8))+0,"DD/MM/YYYY"))+0,"")</f>
        <v>45967</v>
      </c>
      <c r="HG8" s="1" t="str">
        <f ca="1"/>
        <v>Echeq - NEPLASTIC</v>
      </c>
      <c r="HH8" s="1">
        <f ca="1"/>
        <v>6</v>
      </c>
      <c r="HI8" s="4">
        <f ca="1"/>
        <v>715843.25000000012</v>
      </c>
      <c r="HJ8" s="1" t="str">
        <f ca="1"/>
        <v/>
      </c>
      <c r="HK8" s="1" t="str">
        <f ca="1"/>
        <v>SI</v>
      </c>
      <c r="HL8" s="1">
        <f t="shared" ca="1" si="22"/>
        <v>3</v>
      </c>
    </row>
    <row r="9" spans="1:220" ht="15" x14ac:dyDescent="0.25">
      <c r="A9" s="1" t="str">
        <f ca="1"/>
        <v>Aseg. Motovehicular</v>
      </c>
      <c r="B9" s="42">
        <f ca="1"/>
        <v>2</v>
      </c>
      <c r="C9" s="8">
        <f ca="1"/>
        <v>141512.71</v>
      </c>
      <c r="D9" s="59" t="str">
        <f ca="1"/>
        <v/>
      </c>
      <c r="E9" s="3" t="str">
        <f ca="1"/>
        <v/>
      </c>
      <c r="F9" s="43" t="str">
        <f t="shared" ca="1" si="19"/>
        <v/>
      </c>
      <c r="G9" s="106" t="str">
        <f t="shared" ca="1" si="20"/>
        <v>Ir</v>
      </c>
      <c r="H9" s="7">
        <f t="shared" si="23"/>
        <v>7</v>
      </c>
      <c r="I9" s="1" t="s">
        <v>38</v>
      </c>
      <c r="J9" s="3">
        <v>7</v>
      </c>
      <c r="K9" s="3">
        <v>7</v>
      </c>
      <c r="L9" s="1" t="s">
        <v>8</v>
      </c>
      <c r="M9" s="1" t="s">
        <v>30</v>
      </c>
      <c r="N9" s="14"/>
      <c r="O9" s="22">
        <v>7</v>
      </c>
      <c r="P9" s="8">
        <v>30748.07</v>
      </c>
      <c r="Q9" s="52"/>
      <c r="R9" s="9" t="s">
        <v>48</v>
      </c>
      <c r="S9" s="22">
        <v>7</v>
      </c>
      <c r="T9" s="8">
        <v>40577.730000000003</v>
      </c>
      <c r="U9" s="52"/>
      <c r="V9" s="9" t="s">
        <v>48</v>
      </c>
      <c r="W9" s="22">
        <v>7</v>
      </c>
      <c r="X9" s="8">
        <f t="shared" ref="X9" si="25">+T9</f>
        <v>40577.730000000003</v>
      </c>
      <c r="Y9" s="52"/>
      <c r="Z9" s="9" t="s">
        <v>48</v>
      </c>
      <c r="AA9" s="22">
        <v>7</v>
      </c>
      <c r="AB9" s="8">
        <f t="shared" ref="AB9" si="26">+X9</f>
        <v>40577.730000000003</v>
      </c>
      <c r="AC9" s="52"/>
      <c r="AD9" s="9"/>
      <c r="AE9" s="22">
        <v>7</v>
      </c>
      <c r="AF9" s="8">
        <f>+AB9+35000</f>
        <v>75577.73000000001</v>
      </c>
      <c r="AG9" s="52"/>
      <c r="AH9" s="9" t="s">
        <v>48</v>
      </c>
      <c r="AI9" s="22">
        <v>7</v>
      </c>
      <c r="AJ9" s="8">
        <v>40577.730000000003</v>
      </c>
      <c r="AK9" s="52"/>
      <c r="AL9" s="9"/>
      <c r="AM9" s="22">
        <v>1</v>
      </c>
      <c r="AN9" s="8">
        <v>364040.33</v>
      </c>
      <c r="AO9" s="52"/>
      <c r="AP9" s="9" t="s">
        <v>48</v>
      </c>
      <c r="AQ9" s="22">
        <v>7</v>
      </c>
      <c r="AR9" s="8">
        <f t="shared" ref="AR9" si="27">+AN9</f>
        <v>364040.33</v>
      </c>
      <c r="AS9" s="52"/>
      <c r="AT9" s="9"/>
      <c r="AU9" s="22">
        <v>7</v>
      </c>
      <c r="AV9" s="8">
        <f t="shared" ref="AV9" si="28">+AR9</f>
        <v>364040.33</v>
      </c>
      <c r="AW9" s="52"/>
      <c r="AX9" s="9"/>
      <c r="AY9" s="22"/>
      <c r="AZ9" s="8"/>
      <c r="BA9" s="52"/>
      <c r="BB9" s="9"/>
      <c r="BC9" s="22"/>
      <c r="BD9" s="8"/>
      <c r="BE9" s="52"/>
      <c r="BF9" s="9"/>
      <c r="BG9" s="22"/>
      <c r="BH9" s="8"/>
      <c r="BI9" s="52"/>
      <c r="BJ9" s="9"/>
      <c r="BK9" s="22"/>
      <c r="BL9" s="8"/>
      <c r="BM9" s="52"/>
      <c r="BN9" s="9"/>
      <c r="BO9" s="22"/>
      <c r="BP9" s="8"/>
      <c r="BQ9" s="52"/>
      <c r="BR9" s="9"/>
      <c r="BS9" s="22"/>
      <c r="BT9" s="8"/>
      <c r="BU9" s="52"/>
      <c r="BV9" s="9"/>
      <c r="BW9" s="22"/>
      <c r="BX9" s="8"/>
      <c r="BY9" s="52"/>
      <c r="BZ9" s="9"/>
      <c r="CA9" s="22"/>
      <c r="CB9" s="8"/>
      <c r="CC9" s="8"/>
      <c r="CD9" s="52"/>
      <c r="CE9" s="22"/>
      <c r="CF9" s="8"/>
      <c r="CG9" s="8"/>
      <c r="CH9" s="52"/>
      <c r="CI9" s="22"/>
      <c r="CJ9" s="8"/>
      <c r="CK9" s="8"/>
      <c r="CL9" s="52"/>
      <c r="FF9" s="44">
        <f t="shared" si="24"/>
        <v>46082</v>
      </c>
      <c r="HF9" s="23" cm="1">
        <f t="array" aca="1" ref="HF9" ca="1">IFERROR(IF(HI9="","",TEXT(DAY(HH9)&amp;"/"&amp;MONTH(INDIRECT("HG"&amp;HL9))&amp;"/"&amp;YEAR(INDIRECT("HG"&amp;HL9))+0,"DD/MM/YYYY"))+0,"")</f>
        <v>45968</v>
      </c>
      <c r="HG9" s="1" t="str">
        <f ca="1"/>
        <v>Tarjeta Galicia + MASTER</v>
      </c>
      <c r="HH9" s="1">
        <f ca="1"/>
        <v>7</v>
      </c>
      <c r="HI9" s="4">
        <f ca="1"/>
        <v>0.01</v>
      </c>
      <c r="HJ9" s="1">
        <f ca="1"/>
        <v>1667.61</v>
      </c>
      <c r="HK9" s="1" t="str">
        <f ca="1"/>
        <v>SI</v>
      </c>
      <c r="HL9" s="1">
        <f t="shared" ca="1" si="22"/>
        <v>3</v>
      </c>
    </row>
    <row r="10" spans="1:220" ht="15" x14ac:dyDescent="0.25">
      <c r="A10" s="1" t="str">
        <f ca="1"/>
        <v>Personal Flow</v>
      </c>
      <c r="B10" s="42">
        <f ca="1"/>
        <v>2</v>
      </c>
      <c r="C10" s="8">
        <f ca="1"/>
        <v>71670</v>
      </c>
      <c r="D10" s="59" t="str">
        <f ca="1"/>
        <v/>
      </c>
      <c r="E10" s="3" t="str">
        <f ca="1"/>
        <v/>
      </c>
      <c r="F10" s="43" t="str">
        <f t="shared" ca="1" si="19"/>
        <v/>
      </c>
      <c r="G10" s="106" t="str">
        <f t="shared" ca="1" si="20"/>
        <v>Ir</v>
      </c>
      <c r="H10" s="7">
        <f t="shared" si="23"/>
        <v>8</v>
      </c>
      <c r="I10" s="1" t="s">
        <v>39</v>
      </c>
      <c r="J10" s="3">
        <v>2</v>
      </c>
      <c r="K10" s="3">
        <v>13</v>
      </c>
      <c r="L10" s="1" t="s">
        <v>9</v>
      </c>
      <c r="M10" s="1" t="s">
        <v>35</v>
      </c>
      <c r="N10" s="14"/>
      <c r="O10" s="22">
        <v>13</v>
      </c>
      <c r="P10" s="8">
        <v>87300</v>
      </c>
      <c r="Q10" s="52"/>
      <c r="R10" s="9" t="s">
        <v>48</v>
      </c>
      <c r="S10" s="22">
        <v>13</v>
      </c>
      <c r="T10" s="8">
        <v>50000</v>
      </c>
      <c r="U10" s="52"/>
      <c r="V10" s="9" t="s">
        <v>48</v>
      </c>
      <c r="W10" s="22">
        <v>13</v>
      </c>
      <c r="X10" s="8"/>
      <c r="Y10" s="52"/>
      <c r="Z10" s="9"/>
      <c r="AA10" s="22">
        <v>13</v>
      </c>
      <c r="AB10" s="8"/>
      <c r="AC10" s="52"/>
      <c r="AD10" s="9"/>
      <c r="AE10" s="22"/>
      <c r="AF10" s="8"/>
      <c r="AG10" s="52"/>
      <c r="AH10" s="9"/>
      <c r="AI10" s="22"/>
      <c r="AJ10" s="8"/>
      <c r="AK10" s="52"/>
      <c r="AL10" s="9"/>
      <c r="AM10" s="22"/>
      <c r="AN10" s="8"/>
      <c r="AO10" s="52"/>
      <c r="AP10" s="9"/>
      <c r="AQ10" s="22"/>
      <c r="AR10" s="8"/>
      <c r="AS10" s="52"/>
      <c r="AT10" s="9"/>
      <c r="AU10" s="22"/>
      <c r="AV10" s="8"/>
      <c r="AW10" s="52"/>
      <c r="AX10" s="9"/>
      <c r="AY10" s="22"/>
      <c r="AZ10" s="8"/>
      <c r="BA10" s="52"/>
      <c r="BB10" s="9"/>
      <c r="BC10" s="22"/>
      <c r="BD10" s="8"/>
      <c r="BE10" s="52"/>
      <c r="BF10" s="9"/>
      <c r="BG10" s="22"/>
      <c r="BH10" s="8"/>
      <c r="BI10" s="52"/>
      <c r="BJ10" s="9"/>
      <c r="BK10" s="22"/>
      <c r="BL10" s="8"/>
      <c r="BM10" s="52"/>
      <c r="BN10" s="9"/>
      <c r="BO10" s="22"/>
      <c r="BP10" s="8"/>
      <c r="BQ10" s="52"/>
      <c r="BR10" s="9"/>
      <c r="BS10" s="22"/>
      <c r="BT10" s="8"/>
      <c r="BU10" s="52"/>
      <c r="BV10" s="9"/>
      <c r="BW10" s="22"/>
      <c r="BX10" s="8"/>
      <c r="BY10" s="52"/>
      <c r="BZ10" s="9"/>
      <c r="CA10" s="22"/>
      <c r="CB10" s="8"/>
      <c r="CC10" s="8"/>
      <c r="CD10" s="52"/>
      <c r="CE10" s="22"/>
      <c r="CF10" s="8"/>
      <c r="CG10" s="8"/>
      <c r="CH10" s="52"/>
      <c r="CI10" s="22"/>
      <c r="CJ10" s="8"/>
      <c r="CK10" s="8"/>
      <c r="CL10" s="52"/>
      <c r="FF10" s="44">
        <f t="shared" si="24"/>
        <v>46113</v>
      </c>
      <c r="HF10" s="23" cm="1">
        <f t="array" aca="1" ref="HF10" ca="1">IFERROR(IF(HI10="","",TEXT(DAY(HH10)&amp;"/"&amp;MONTH(INDIRECT("HG"&amp;HL10))&amp;"/"&amp;YEAR(INDIRECT("HG"&amp;HL10))+0,"DD/MM/YYYY"))+0,"")</f>
        <v>45968</v>
      </c>
      <c r="HG10" s="1" t="str">
        <f ca="1"/>
        <v>Tarjeta Santander Rio - VISA</v>
      </c>
      <c r="HH10" s="1">
        <f ca="1"/>
        <v>7</v>
      </c>
      <c r="HI10" s="4">
        <f ca="1"/>
        <v>1999999.9000000004</v>
      </c>
      <c r="HJ10" s="1" t="str">
        <f ca="1"/>
        <v/>
      </c>
      <c r="HK10" s="1" t="str">
        <f ca="1"/>
        <v/>
      </c>
      <c r="HL10" s="1">
        <f t="shared" ca="1" si="22"/>
        <v>3</v>
      </c>
    </row>
    <row r="11" spans="1:220" ht="15" x14ac:dyDescent="0.25">
      <c r="A11" s="1" t="str">
        <f ca="1"/>
        <v>Tarjeta Galicia - VISA</v>
      </c>
      <c r="B11" s="42">
        <f ca="1"/>
        <v>4</v>
      </c>
      <c r="C11" s="102">
        <f ca="1"/>
        <v>572116.25</v>
      </c>
      <c r="D11" s="133" t="str">
        <f ca="1"/>
        <v/>
      </c>
      <c r="E11" s="3" t="str">
        <f ca="1"/>
        <v>OK</v>
      </c>
      <c r="F11" s="140">
        <f t="shared" ca="1" si="19"/>
        <v>0</v>
      </c>
      <c r="G11" s="135" t="str">
        <f t="shared" ca="1" si="20"/>
        <v>Ir</v>
      </c>
      <c r="H11" s="123">
        <f t="shared" si="23"/>
        <v>9</v>
      </c>
      <c r="I11" s="124" t="s">
        <v>80</v>
      </c>
      <c r="J11" s="122"/>
      <c r="K11" s="122">
        <v>14</v>
      </c>
      <c r="L11" s="120" t="s">
        <v>6</v>
      </c>
      <c r="M11" s="120" t="s">
        <v>12</v>
      </c>
      <c r="N11" s="125"/>
      <c r="O11" s="126">
        <v>14</v>
      </c>
      <c r="P11" s="127">
        <v>1668543.38</v>
      </c>
      <c r="Q11" s="128"/>
      <c r="R11" s="129" t="s">
        <v>48</v>
      </c>
      <c r="S11" s="126">
        <f>+O11</f>
        <v>14</v>
      </c>
      <c r="T11" s="121">
        <v>1674547</v>
      </c>
      <c r="U11" s="128"/>
      <c r="V11" s="130" t="s">
        <v>48</v>
      </c>
      <c r="W11" s="126">
        <f>+S11</f>
        <v>14</v>
      </c>
      <c r="X11" s="121">
        <f t="shared" ref="X11:X22" si="29">+T11</f>
        <v>1674547</v>
      </c>
      <c r="Y11" s="128"/>
      <c r="Z11" s="130" t="s">
        <v>48</v>
      </c>
      <c r="AA11" s="126">
        <f>+W11</f>
        <v>14</v>
      </c>
      <c r="AB11" s="121">
        <v>1582000</v>
      </c>
      <c r="AC11" s="128"/>
      <c r="AD11" s="130" t="s">
        <v>48</v>
      </c>
      <c r="AE11" s="126">
        <f>+AA11</f>
        <v>14</v>
      </c>
      <c r="AF11" s="121">
        <f t="shared" ref="AF11:AF19" si="30">+AB11</f>
        <v>1582000</v>
      </c>
      <c r="AG11" s="128"/>
      <c r="AH11" s="130" t="s">
        <v>48</v>
      </c>
      <c r="AI11" s="126">
        <f>+AE11</f>
        <v>14</v>
      </c>
      <c r="AJ11" s="121">
        <f t="shared" ref="AJ11:AJ19" si="31">+AF11</f>
        <v>1582000</v>
      </c>
      <c r="AK11" s="128"/>
      <c r="AL11" s="130" t="s">
        <v>48</v>
      </c>
      <c r="AM11" s="126">
        <f>+AI11</f>
        <v>14</v>
      </c>
      <c r="AN11" s="121">
        <f t="shared" ref="AN11:AN17" si="32">+AJ11</f>
        <v>1582000</v>
      </c>
      <c r="AO11" s="128"/>
      <c r="AP11" s="9" t="s">
        <v>48</v>
      </c>
      <c r="AQ11" s="126">
        <f>+AM11</f>
        <v>14</v>
      </c>
      <c r="AR11" s="121">
        <v>1437968.04</v>
      </c>
      <c r="AS11" s="128"/>
      <c r="AT11" s="130"/>
      <c r="AU11" s="126">
        <f>+AQ11</f>
        <v>14</v>
      </c>
      <c r="AV11" s="121">
        <f t="shared" ref="AV11:AV20" si="33">+AR11</f>
        <v>1437968.04</v>
      </c>
      <c r="AW11" s="128"/>
      <c r="AX11" s="130"/>
      <c r="AY11" s="126">
        <f>+AU11</f>
        <v>14</v>
      </c>
      <c r="AZ11" s="121">
        <v>1668543.38</v>
      </c>
      <c r="BA11" s="128"/>
      <c r="BB11" s="130"/>
      <c r="BC11" s="126">
        <f>+AY11</f>
        <v>14</v>
      </c>
      <c r="BD11" s="121">
        <v>1668543.38</v>
      </c>
      <c r="BE11" s="128"/>
      <c r="BF11" s="130"/>
      <c r="BG11" s="126">
        <f>+BC11</f>
        <v>14</v>
      </c>
      <c r="BH11" s="121">
        <v>1668543.38</v>
      </c>
      <c r="BI11" s="128"/>
      <c r="BJ11" s="130"/>
      <c r="BK11" s="126">
        <f>+BG11</f>
        <v>14</v>
      </c>
      <c r="BL11" s="121">
        <v>1668543.38</v>
      </c>
      <c r="BM11" s="128"/>
      <c r="BN11" s="130"/>
      <c r="BO11" s="126">
        <f>+BK11</f>
        <v>14</v>
      </c>
      <c r="BP11" s="121">
        <v>1668543.38</v>
      </c>
      <c r="BQ11" s="128"/>
      <c r="BR11" s="130"/>
      <c r="BS11" s="126">
        <f>+BO11</f>
        <v>14</v>
      </c>
      <c r="BT11" s="121">
        <v>1668543.38</v>
      </c>
      <c r="BU11" s="128"/>
      <c r="BV11" s="130"/>
      <c r="BW11" s="126">
        <f>+BS11</f>
        <v>14</v>
      </c>
      <c r="BX11" s="121">
        <v>1668543.38</v>
      </c>
      <c r="BY11" s="128"/>
      <c r="BZ11" s="130"/>
      <c r="CA11" s="126">
        <f>+BW11</f>
        <v>14</v>
      </c>
      <c r="CB11" s="121">
        <v>1668543.38</v>
      </c>
      <c r="CC11" s="121"/>
      <c r="CD11" s="128"/>
      <c r="CE11" s="126">
        <f>+CA11</f>
        <v>14</v>
      </c>
      <c r="CF11" s="121">
        <v>1668543.38</v>
      </c>
      <c r="CG11" s="102"/>
      <c r="CH11" s="142"/>
      <c r="CI11" s="22"/>
      <c r="CJ11" s="102"/>
      <c r="CK11" s="102"/>
      <c r="CL11" s="142"/>
      <c r="FF11" s="138">
        <f t="shared" si="24"/>
        <v>46143</v>
      </c>
      <c r="HF11" s="23" cm="1">
        <f t="array" aca="1" ref="HF11" ca="1">IFERROR(IF(HI11="","",TEXT(DAY(HH11)&amp;"/"&amp;MONTH(INDIRECT("HG"&amp;HL11))&amp;"/"&amp;YEAR(INDIRECT("HG"&amp;HL11))+0,"DD/MM/YYYY"))+0,"")</f>
        <v>45968</v>
      </c>
      <c r="HG11" s="1" t="str">
        <f ca="1"/>
        <v>Tarjeta ICBC</v>
      </c>
      <c r="HH11" s="1">
        <f ca="1"/>
        <v>7</v>
      </c>
      <c r="HI11" s="139">
        <f ca="1"/>
        <v>40577.730000000003</v>
      </c>
      <c r="HJ11" s="1" t="str">
        <f ca="1"/>
        <v/>
      </c>
      <c r="HK11" s="1" t="str">
        <f ca="1"/>
        <v>SI</v>
      </c>
      <c r="HL11" s="1">
        <f t="shared" ca="1" si="22"/>
        <v>3</v>
      </c>
    </row>
    <row r="12" spans="1:220" ht="15" x14ac:dyDescent="0.25">
      <c r="A12" s="1" t="str">
        <f ca="1"/>
        <v>Autonomo</v>
      </c>
      <c r="B12" s="42">
        <f ca="1"/>
        <v>6</v>
      </c>
      <c r="C12" s="102">
        <f ca="1"/>
        <v>95639.62</v>
      </c>
      <c r="D12" s="133" t="str">
        <f ca="1"/>
        <v/>
      </c>
      <c r="E12" s="3" t="str">
        <f ca="1"/>
        <v/>
      </c>
      <c r="F12" s="140">
        <f t="shared" ca="1" si="19"/>
        <v>2</v>
      </c>
      <c r="G12" s="135" t="str">
        <f t="shared" ca="1" si="20"/>
        <v>Ir</v>
      </c>
      <c r="H12" s="123">
        <f t="shared" si="23"/>
        <v>10</v>
      </c>
      <c r="I12" s="124" t="s">
        <v>41</v>
      </c>
      <c r="J12" s="122"/>
      <c r="K12" s="122">
        <v>24</v>
      </c>
      <c r="L12" s="120" t="s">
        <v>7</v>
      </c>
      <c r="M12" s="120" t="s">
        <v>12</v>
      </c>
      <c r="N12" s="125"/>
      <c r="O12" s="126">
        <v>24</v>
      </c>
      <c r="P12" s="121">
        <v>889000</v>
      </c>
      <c r="Q12" s="128"/>
      <c r="R12" s="130" t="s">
        <v>48</v>
      </c>
      <c r="S12" s="126">
        <f t="shared" ref="S12:S27" si="34">+O12</f>
        <v>24</v>
      </c>
      <c r="T12" s="121">
        <f t="shared" ref="T12:T22" si="35">+P12</f>
        <v>889000</v>
      </c>
      <c r="U12" s="128"/>
      <c r="V12" s="130" t="s">
        <v>48</v>
      </c>
      <c r="W12" s="126">
        <f t="shared" ref="W12:W27" si="36">+S12</f>
        <v>24</v>
      </c>
      <c r="X12" s="121">
        <f t="shared" si="29"/>
        <v>889000</v>
      </c>
      <c r="Y12" s="128"/>
      <c r="Z12" s="130" t="s">
        <v>48</v>
      </c>
      <c r="AA12" s="126">
        <f t="shared" ref="AA12:AA22" si="37">+W12</f>
        <v>24</v>
      </c>
      <c r="AB12" s="121">
        <v>879150</v>
      </c>
      <c r="AC12" s="128"/>
      <c r="AD12" s="130" t="s">
        <v>48</v>
      </c>
      <c r="AE12" s="126">
        <f t="shared" ref="AE12:AE27" si="38">+AA12</f>
        <v>24</v>
      </c>
      <c r="AF12" s="121">
        <v>872520</v>
      </c>
      <c r="AG12" s="128"/>
      <c r="AH12" s="130" t="s">
        <v>48</v>
      </c>
      <c r="AI12" s="126">
        <f t="shared" ref="AI12:AI24" si="39">+AE12</f>
        <v>24</v>
      </c>
      <c r="AJ12" s="121">
        <f t="shared" si="31"/>
        <v>872520</v>
      </c>
      <c r="AK12" s="128"/>
      <c r="AL12" s="130" t="s">
        <v>48</v>
      </c>
      <c r="AM12" s="126">
        <f t="shared" ref="AM12:AM20" si="40">+AI12</f>
        <v>24</v>
      </c>
      <c r="AN12" s="121">
        <f t="shared" si="32"/>
        <v>872520</v>
      </c>
      <c r="AO12" s="128"/>
      <c r="AP12" s="130" t="s">
        <v>48</v>
      </c>
      <c r="AQ12" s="126">
        <f t="shared" ref="AQ12:AQ27" si="41">+AM12</f>
        <v>24</v>
      </c>
      <c r="AR12" s="121">
        <f t="shared" ref="AR12:AR20" si="42">+AN12</f>
        <v>872520</v>
      </c>
      <c r="AS12" s="128"/>
      <c r="AT12" s="130"/>
      <c r="AU12" s="126">
        <f t="shared" ref="AU12:AU27" si="43">+AQ12</f>
        <v>24</v>
      </c>
      <c r="AV12" s="121">
        <f t="shared" si="33"/>
        <v>872520</v>
      </c>
      <c r="AW12" s="128"/>
      <c r="AX12" s="130"/>
      <c r="AY12" s="126">
        <f t="shared" ref="AY12:AY20" si="44">+AU12</f>
        <v>24</v>
      </c>
      <c r="AZ12" s="121">
        <f t="shared" ref="AZ12:AZ20" si="45">+AV12</f>
        <v>872520</v>
      </c>
      <c r="BA12" s="128"/>
      <c r="BB12" s="130"/>
      <c r="BC12" s="126">
        <f t="shared" ref="BC12:BC20" si="46">+AY12</f>
        <v>24</v>
      </c>
      <c r="BD12" s="121">
        <f t="shared" ref="BD12:BD20" si="47">+AZ12</f>
        <v>872520</v>
      </c>
      <c r="BE12" s="128"/>
      <c r="BF12" s="130"/>
      <c r="BG12" s="126">
        <f t="shared" ref="BG12:BG20" si="48">+BC12</f>
        <v>24</v>
      </c>
      <c r="BH12" s="121">
        <f t="shared" ref="BH12:BH20" si="49">+BD12</f>
        <v>872520</v>
      </c>
      <c r="BI12" s="128"/>
      <c r="BJ12" s="130"/>
      <c r="BK12" s="126">
        <f t="shared" ref="BK12:BK20" si="50">+BG12</f>
        <v>24</v>
      </c>
      <c r="BL12" s="121">
        <f t="shared" ref="BL12:BL20" si="51">+BH12</f>
        <v>872520</v>
      </c>
      <c r="BM12" s="142"/>
      <c r="BN12" s="137"/>
      <c r="BO12" s="22"/>
      <c r="BP12" s="102"/>
      <c r="BQ12" s="142"/>
      <c r="BR12" s="137"/>
      <c r="BS12" s="22"/>
      <c r="BT12" s="102"/>
      <c r="BU12" s="142"/>
      <c r="BV12" s="137"/>
      <c r="BW12" s="22"/>
      <c r="BX12" s="102"/>
      <c r="BY12" s="142"/>
      <c r="BZ12" s="137"/>
      <c r="CA12" s="22"/>
      <c r="CB12" s="102"/>
      <c r="CC12" s="102"/>
      <c r="CD12" s="142"/>
      <c r="CE12" s="22"/>
      <c r="CF12" s="102"/>
      <c r="CG12" s="102"/>
      <c r="CH12" s="142"/>
      <c r="CI12" s="22"/>
      <c r="CJ12" s="102"/>
      <c r="CK12" s="102"/>
      <c r="CL12" s="142"/>
      <c r="FF12" s="138">
        <f t="shared" si="24"/>
        <v>46174</v>
      </c>
      <c r="HF12" s="23" cm="1">
        <f t="array" aca="1" ref="HF12" ca="1">IFERROR(IF(HI12="","",TEXT(DAY(HH12)&amp;"/"&amp;MONTH(INDIRECT("HG"&amp;HL12))&amp;"/"&amp;YEAR(INDIRECT("HG"&amp;HL12))+0,"DD/MM/YYYY"))+0,"")</f>
        <v>45968</v>
      </c>
      <c r="HG12" s="1" t="str">
        <f ca="1"/>
        <v>Autonomo</v>
      </c>
      <c r="HH12" s="1">
        <f ca="1"/>
        <v>7</v>
      </c>
      <c r="HI12" s="139">
        <f ca="1"/>
        <v>80540.72</v>
      </c>
      <c r="HJ12" s="1" t="str">
        <f ca="1"/>
        <v/>
      </c>
      <c r="HK12" s="1" t="str">
        <f ca="1"/>
        <v>SI</v>
      </c>
      <c r="HL12" s="1">
        <f t="shared" ca="1" si="22"/>
        <v>3</v>
      </c>
    </row>
    <row r="13" spans="1:220" ht="15" x14ac:dyDescent="0.25">
      <c r="A13" s="1" t="str">
        <f ca="1"/>
        <v>Tarjeta ICBC</v>
      </c>
      <c r="B13" s="42">
        <f ca="1"/>
        <v>7</v>
      </c>
      <c r="C13" s="102">
        <f ca="1"/>
        <v>364040.33</v>
      </c>
      <c r="D13" s="133" t="str">
        <f ca="1"/>
        <v/>
      </c>
      <c r="E13" s="3" t="str">
        <f ca="1"/>
        <v/>
      </c>
      <c r="F13" s="140">
        <f t="shared" ca="1" si="19"/>
        <v>3</v>
      </c>
      <c r="G13" s="135" t="str">
        <f t="shared" ca="1" si="20"/>
        <v>Ir</v>
      </c>
      <c r="H13" s="123">
        <f t="shared" si="23"/>
        <v>11</v>
      </c>
      <c r="I13" s="124" t="s">
        <v>42</v>
      </c>
      <c r="J13" s="122"/>
      <c r="K13" s="122">
        <v>14</v>
      </c>
      <c r="L13" s="120" t="s">
        <v>10</v>
      </c>
      <c r="M13" s="120" t="s">
        <v>12</v>
      </c>
      <c r="N13" s="125"/>
      <c r="O13" s="126">
        <v>14</v>
      </c>
      <c r="P13" s="127">
        <v>1325515.1100000001</v>
      </c>
      <c r="Q13" s="128"/>
      <c r="R13" s="130" t="s">
        <v>48</v>
      </c>
      <c r="S13" s="126">
        <f t="shared" si="34"/>
        <v>14</v>
      </c>
      <c r="T13" s="121">
        <v>1321310</v>
      </c>
      <c r="U13" s="128"/>
      <c r="V13" s="130" t="s">
        <v>48</v>
      </c>
      <c r="W13" s="126">
        <f t="shared" si="36"/>
        <v>14</v>
      </c>
      <c r="X13" s="121">
        <f t="shared" si="29"/>
        <v>1321310</v>
      </c>
      <c r="Y13" s="128"/>
      <c r="Z13" s="130" t="s">
        <v>48</v>
      </c>
      <c r="AA13" s="126">
        <v>19</v>
      </c>
      <c r="AB13" s="121">
        <v>1440016.96</v>
      </c>
      <c r="AC13" s="128"/>
      <c r="AD13" s="130" t="s">
        <v>48</v>
      </c>
      <c r="AE13" s="126">
        <f t="shared" si="38"/>
        <v>19</v>
      </c>
      <c r="AF13" s="121">
        <v>1316757</v>
      </c>
      <c r="AG13" s="128"/>
      <c r="AH13" s="130" t="s">
        <v>48</v>
      </c>
      <c r="AI13" s="126">
        <f t="shared" si="39"/>
        <v>19</v>
      </c>
      <c r="AJ13" s="121">
        <f t="shared" si="31"/>
        <v>1316757</v>
      </c>
      <c r="AK13" s="128"/>
      <c r="AL13" s="130" t="s">
        <v>48</v>
      </c>
      <c r="AM13" s="126">
        <f t="shared" si="40"/>
        <v>19</v>
      </c>
      <c r="AN13" s="121">
        <v>1311628.8700000001</v>
      </c>
      <c r="AO13" s="128"/>
      <c r="AP13" s="130" t="s">
        <v>48</v>
      </c>
      <c r="AQ13" s="126">
        <f t="shared" si="41"/>
        <v>19</v>
      </c>
      <c r="AR13" s="121">
        <f t="shared" si="42"/>
        <v>1311628.8700000001</v>
      </c>
      <c r="AS13" s="128"/>
      <c r="AT13" s="130"/>
      <c r="AU13" s="126">
        <f t="shared" si="43"/>
        <v>19</v>
      </c>
      <c r="AV13" s="121">
        <f t="shared" si="33"/>
        <v>1311628.8700000001</v>
      </c>
      <c r="AW13" s="128"/>
      <c r="AX13" s="130"/>
      <c r="AY13" s="126">
        <f t="shared" si="44"/>
        <v>19</v>
      </c>
      <c r="AZ13" s="121">
        <f t="shared" si="45"/>
        <v>1311628.8700000001</v>
      </c>
      <c r="BA13" s="128"/>
      <c r="BB13" s="130"/>
      <c r="BC13" s="126">
        <f t="shared" si="46"/>
        <v>19</v>
      </c>
      <c r="BD13" s="121">
        <f t="shared" si="47"/>
        <v>1311628.8700000001</v>
      </c>
      <c r="BE13" s="128"/>
      <c r="BF13" s="130"/>
      <c r="BG13" s="126">
        <f t="shared" si="48"/>
        <v>19</v>
      </c>
      <c r="BH13" s="121">
        <f t="shared" si="49"/>
        <v>1311628.8700000001</v>
      </c>
      <c r="BI13" s="128"/>
      <c r="BJ13" s="130"/>
      <c r="BK13" s="126">
        <f t="shared" si="50"/>
        <v>19</v>
      </c>
      <c r="BL13" s="121">
        <f t="shared" si="51"/>
        <v>1311628.8700000001</v>
      </c>
      <c r="BM13" s="128"/>
      <c r="BN13" s="130"/>
      <c r="BO13" s="126">
        <f t="shared" ref="BO13:BO20" si="52">+BK13</f>
        <v>19</v>
      </c>
      <c r="BP13" s="121">
        <f t="shared" ref="BP13:BP20" si="53">+BL13</f>
        <v>1311628.8700000001</v>
      </c>
      <c r="BQ13" s="128"/>
      <c r="BR13" s="130"/>
      <c r="BS13" s="126">
        <f t="shared" ref="BS13:BS20" si="54">+BO13</f>
        <v>19</v>
      </c>
      <c r="BT13" s="121">
        <f t="shared" ref="BT13:BT20" si="55">+BP13</f>
        <v>1311628.8700000001</v>
      </c>
      <c r="BU13" s="128"/>
      <c r="BV13" s="130"/>
      <c r="BW13" s="126">
        <f t="shared" ref="BW13" si="56">+BS13</f>
        <v>19</v>
      </c>
      <c r="BX13" s="121">
        <f t="shared" ref="BX13" si="57">+BT13</f>
        <v>1311628.8700000001</v>
      </c>
      <c r="BY13" s="128"/>
      <c r="BZ13" s="130"/>
      <c r="CA13" s="126">
        <f t="shared" ref="CA13" si="58">+BW13</f>
        <v>19</v>
      </c>
      <c r="CB13" s="121">
        <f t="shared" ref="CB13" si="59">+BX13</f>
        <v>1311628.8700000001</v>
      </c>
      <c r="CC13" s="121"/>
      <c r="CD13" s="128"/>
      <c r="CE13" s="126">
        <f t="shared" ref="CE13" si="60">+CA13</f>
        <v>19</v>
      </c>
      <c r="CF13" s="121">
        <f t="shared" ref="CF13" si="61">+CB13</f>
        <v>1311628.8700000001</v>
      </c>
      <c r="CG13" s="102"/>
      <c r="CH13" s="142"/>
      <c r="CI13" s="22"/>
      <c r="CJ13" s="102"/>
      <c r="CK13" s="102"/>
      <c r="CL13" s="142"/>
      <c r="CM13" s="22"/>
      <c r="CN13" s="102"/>
      <c r="CO13" s="102"/>
      <c r="CP13" s="142"/>
      <c r="CQ13" s="22"/>
      <c r="CR13" s="102"/>
      <c r="CS13" s="102"/>
      <c r="CT13" s="22"/>
      <c r="CU13" s="102"/>
      <c r="CV13" s="102"/>
      <c r="CW13" s="142"/>
      <c r="FF13" s="138">
        <f t="shared" si="24"/>
        <v>46204</v>
      </c>
      <c r="HF13" s="23" cm="1">
        <f t="array" aca="1" ref="HF13" ca="1">IFERROR(IF(HI13="","",TEXT(DAY(HH13)&amp;"/"&amp;MONTH(INDIRECT("HG"&amp;HL13))&amp;"/"&amp;YEAR(INDIRECT("HG"&amp;HL13))+0,"DD/MM/YYYY"))+0,"")</f>
        <v>45970</v>
      </c>
      <c r="HG13" s="1" t="str">
        <f ca="1"/>
        <v>Cargas Sociales</v>
      </c>
      <c r="HH13" s="1">
        <f ca="1"/>
        <v>9</v>
      </c>
      <c r="HI13" s="139">
        <f ca="1"/>
        <v>733106</v>
      </c>
      <c r="HJ13" s="1" t="str">
        <f ca="1"/>
        <v/>
      </c>
      <c r="HK13" s="1" t="str">
        <f ca="1"/>
        <v>SI</v>
      </c>
      <c r="HL13" s="1">
        <f t="shared" ca="1" si="22"/>
        <v>3</v>
      </c>
    </row>
    <row r="14" spans="1:220" ht="15" x14ac:dyDescent="0.25">
      <c r="A14" s="1" t="str">
        <f ca="1"/>
        <v>Tarjeta Santander Rio - VISA</v>
      </c>
      <c r="B14" s="42">
        <f ca="1"/>
        <v>8</v>
      </c>
      <c r="C14" s="102">
        <f ca="1"/>
        <v>1763089.41</v>
      </c>
      <c r="D14" s="133" t="str">
        <f ca="1"/>
        <v/>
      </c>
      <c r="E14" s="3" t="str">
        <f ca="1"/>
        <v/>
      </c>
      <c r="F14" s="140">
        <f t="shared" ca="1" si="19"/>
        <v>4</v>
      </c>
      <c r="G14" s="135" t="str">
        <f t="shared" ca="1" si="20"/>
        <v>Ir</v>
      </c>
      <c r="H14" s="7">
        <f t="shared" si="23"/>
        <v>12</v>
      </c>
      <c r="I14" s="1" t="s">
        <v>11</v>
      </c>
      <c r="K14" s="3">
        <v>26</v>
      </c>
      <c r="L14" s="1" t="s">
        <v>7</v>
      </c>
      <c r="M14" s="1" t="s">
        <v>12</v>
      </c>
      <c r="N14" s="21">
        <v>12</v>
      </c>
      <c r="O14" s="22">
        <v>16</v>
      </c>
      <c r="P14" s="8">
        <v>446304</v>
      </c>
      <c r="Q14" s="52"/>
      <c r="R14" s="9" t="s">
        <v>48</v>
      </c>
      <c r="S14" s="22">
        <f t="shared" si="34"/>
        <v>16</v>
      </c>
      <c r="T14" s="8">
        <f t="shared" si="35"/>
        <v>446304</v>
      </c>
      <c r="U14" s="52"/>
      <c r="V14" s="9" t="s">
        <v>48</v>
      </c>
      <c r="W14" s="22">
        <f t="shared" si="36"/>
        <v>16</v>
      </c>
      <c r="X14" s="8">
        <f t="shared" si="29"/>
        <v>446304</v>
      </c>
      <c r="Y14" s="52"/>
      <c r="Z14" s="9" t="s">
        <v>48</v>
      </c>
      <c r="AA14" s="22">
        <f t="shared" si="37"/>
        <v>16</v>
      </c>
      <c r="AB14" s="8">
        <f t="shared" ref="AB14:AB22" si="62">+X14</f>
        <v>446304</v>
      </c>
      <c r="AC14" s="52"/>
      <c r="AD14" s="9" t="s">
        <v>48</v>
      </c>
      <c r="AE14" s="22">
        <f t="shared" si="38"/>
        <v>16</v>
      </c>
      <c r="AF14" s="8">
        <f t="shared" si="30"/>
        <v>446304</v>
      </c>
      <c r="AG14" s="52"/>
      <c r="AH14" s="9" t="s">
        <v>48</v>
      </c>
      <c r="AI14" s="22">
        <f t="shared" si="39"/>
        <v>16</v>
      </c>
      <c r="AJ14" s="8">
        <f t="shared" si="31"/>
        <v>446304</v>
      </c>
      <c r="AK14" s="52"/>
      <c r="AL14" s="9" t="s">
        <v>48</v>
      </c>
      <c r="AM14" s="22">
        <f t="shared" si="40"/>
        <v>16</v>
      </c>
      <c r="AN14" s="8">
        <f t="shared" si="32"/>
        <v>446304</v>
      </c>
      <c r="AO14" s="52"/>
      <c r="AP14" s="9" t="s">
        <v>48</v>
      </c>
      <c r="AQ14" s="22">
        <f t="shared" si="41"/>
        <v>16</v>
      </c>
      <c r="AR14" s="8">
        <f t="shared" si="42"/>
        <v>446304</v>
      </c>
      <c r="AS14" s="52"/>
      <c r="AT14" s="9"/>
      <c r="AU14" s="22">
        <f t="shared" si="43"/>
        <v>16</v>
      </c>
      <c r="AV14" s="8">
        <f t="shared" si="33"/>
        <v>446304</v>
      </c>
      <c r="AW14" s="52"/>
      <c r="AX14" s="9"/>
      <c r="AY14" s="22"/>
      <c r="AZ14" s="8"/>
      <c r="BA14" s="52"/>
      <c r="BB14" s="9"/>
      <c r="BC14" s="22"/>
      <c r="BD14" s="8"/>
      <c r="BE14" s="52"/>
      <c r="BF14" s="9"/>
      <c r="BG14" s="22"/>
      <c r="BH14" s="8"/>
      <c r="BI14" s="52"/>
      <c r="BJ14" s="9"/>
      <c r="BK14" s="22"/>
      <c r="BL14" s="8"/>
      <c r="BM14" s="52"/>
      <c r="BN14" s="9"/>
      <c r="BO14" s="22"/>
      <c r="BP14" s="8"/>
      <c r="BQ14" s="52"/>
      <c r="BR14" s="9"/>
      <c r="BS14" s="22"/>
      <c r="BT14" s="8"/>
      <c r="BU14" s="52"/>
      <c r="BV14" s="9"/>
      <c r="BW14" s="22"/>
      <c r="BX14" s="8"/>
      <c r="BY14" s="52"/>
      <c r="BZ14" s="9"/>
      <c r="CA14" s="22"/>
      <c r="CB14" s="8"/>
      <c r="CC14" s="8"/>
      <c r="CD14" s="52"/>
      <c r="CE14" s="22"/>
      <c r="CF14" s="8"/>
      <c r="CG14" s="8"/>
      <c r="CH14" s="52"/>
      <c r="CI14" s="22"/>
      <c r="CJ14" s="102"/>
      <c r="CK14" s="102"/>
      <c r="CL14" s="142"/>
      <c r="FF14" s="138">
        <f t="shared" si="24"/>
        <v>46235</v>
      </c>
      <c r="HF14" s="23" cm="1">
        <f t="array" aca="1" ref="HF14" ca="1">IFERROR(IF(HI14="","",TEXT(DAY(HH14)&amp;"/"&amp;MONTH(INDIRECT("HG"&amp;HL14))&amp;"/"&amp;YEAR(INDIRECT("HG"&amp;HL14))+0,"DD/MM/YYYY"))+0,"")</f>
        <v>45971</v>
      </c>
      <c r="HG14" s="1" t="str">
        <f ca="1"/>
        <v>Tarjeta Santander Rio - AMEX</v>
      </c>
      <c r="HH14" s="1">
        <f ca="1"/>
        <v>10</v>
      </c>
      <c r="HI14" s="139">
        <f ca="1"/>
        <v>40750</v>
      </c>
      <c r="HJ14" s="1" t="str">
        <f ca="1"/>
        <v/>
      </c>
      <c r="HK14" s="1" t="str">
        <f ca="1"/>
        <v>SI</v>
      </c>
      <c r="HL14" s="1">
        <f t="shared" ca="1" si="22"/>
        <v>3</v>
      </c>
    </row>
    <row r="15" spans="1:220" ht="15" x14ac:dyDescent="0.25">
      <c r="A15" s="1" t="str">
        <f ca="1"/>
        <v>Tarjeta Santander Rio - AMEX</v>
      </c>
      <c r="B15" s="42">
        <f ca="1"/>
        <v>9</v>
      </c>
      <c r="C15" s="102">
        <f ca="1"/>
        <v>40749</v>
      </c>
      <c r="D15" s="133" t="str">
        <f ca="1"/>
        <v/>
      </c>
      <c r="E15" s="3" t="str">
        <f ca="1"/>
        <v/>
      </c>
      <c r="F15" s="140">
        <f t="shared" ca="1" si="19"/>
        <v>5</v>
      </c>
      <c r="G15" s="135" t="str">
        <f t="shared" ca="1" si="20"/>
        <v>Ir</v>
      </c>
      <c r="H15" s="7">
        <f t="shared" si="23"/>
        <v>13</v>
      </c>
      <c r="I15" s="1" t="s">
        <v>11</v>
      </c>
      <c r="K15" s="3">
        <v>16</v>
      </c>
      <c r="L15" s="1" t="s">
        <v>7</v>
      </c>
      <c r="M15" s="1" t="s">
        <v>12</v>
      </c>
      <c r="N15" s="21">
        <v>12</v>
      </c>
      <c r="O15" s="22">
        <v>16</v>
      </c>
      <c r="P15" s="8">
        <v>410336</v>
      </c>
      <c r="Q15" s="52"/>
      <c r="R15" s="9" t="s">
        <v>48</v>
      </c>
      <c r="S15" s="22">
        <f t="shared" si="34"/>
        <v>16</v>
      </c>
      <c r="T15" s="8">
        <f t="shared" si="35"/>
        <v>410336</v>
      </c>
      <c r="U15" s="52"/>
      <c r="V15" s="9" t="s">
        <v>48</v>
      </c>
      <c r="W15" s="22">
        <f t="shared" si="36"/>
        <v>16</v>
      </c>
      <c r="X15" s="8">
        <f t="shared" si="29"/>
        <v>410336</v>
      </c>
      <c r="Y15" s="52"/>
      <c r="Z15" s="9" t="s">
        <v>48</v>
      </c>
      <c r="AA15" s="22">
        <f t="shared" si="37"/>
        <v>16</v>
      </c>
      <c r="AB15" s="8">
        <f t="shared" si="62"/>
        <v>410336</v>
      </c>
      <c r="AC15" s="52"/>
      <c r="AD15" s="9" t="s">
        <v>48</v>
      </c>
      <c r="AE15" s="22">
        <f t="shared" si="38"/>
        <v>16</v>
      </c>
      <c r="AF15" s="8">
        <f t="shared" si="30"/>
        <v>410336</v>
      </c>
      <c r="AG15" s="52"/>
      <c r="AH15" s="9" t="s">
        <v>48</v>
      </c>
      <c r="AI15" s="22">
        <f t="shared" si="39"/>
        <v>16</v>
      </c>
      <c r="AJ15" s="8">
        <f t="shared" si="31"/>
        <v>410336</v>
      </c>
      <c r="AK15" s="52"/>
      <c r="AL15" s="9" t="s">
        <v>48</v>
      </c>
      <c r="AM15" s="22">
        <f t="shared" si="40"/>
        <v>16</v>
      </c>
      <c r="AN15" s="8">
        <f t="shared" si="32"/>
        <v>410336</v>
      </c>
      <c r="AO15" s="52"/>
      <c r="AP15" s="9" t="s">
        <v>48</v>
      </c>
      <c r="AQ15" s="22">
        <f t="shared" si="41"/>
        <v>16</v>
      </c>
      <c r="AR15" s="8">
        <f t="shared" si="42"/>
        <v>410336</v>
      </c>
      <c r="AS15" s="52"/>
      <c r="AT15" s="9"/>
      <c r="AU15" s="22">
        <f t="shared" si="43"/>
        <v>16</v>
      </c>
      <c r="AV15" s="8">
        <f t="shared" si="33"/>
        <v>410336</v>
      </c>
      <c r="AW15" s="52"/>
      <c r="AX15" s="9"/>
      <c r="AY15" s="22"/>
      <c r="AZ15" s="8"/>
      <c r="BA15" s="52"/>
      <c r="BB15" s="9"/>
      <c r="BC15" s="22"/>
      <c r="BD15" s="8"/>
      <c r="BE15" s="52"/>
      <c r="BF15" s="9"/>
      <c r="BG15" s="22"/>
      <c r="BH15" s="8"/>
      <c r="BI15" s="52"/>
      <c r="BJ15" s="9"/>
      <c r="BK15" s="22"/>
      <c r="BL15" s="8"/>
      <c r="BM15" s="52"/>
      <c r="BN15" s="9"/>
      <c r="BO15" s="22"/>
      <c r="BP15" s="8"/>
      <c r="BQ15" s="52"/>
      <c r="BR15" s="9"/>
      <c r="BS15" s="22"/>
      <c r="BT15" s="8"/>
      <c r="BU15" s="52"/>
      <c r="BV15" s="9"/>
      <c r="BW15" s="22"/>
      <c r="BX15" s="8"/>
      <c r="BY15" s="52"/>
      <c r="BZ15" s="9"/>
      <c r="CA15" s="22"/>
      <c r="CB15" s="8"/>
      <c r="CC15" s="8"/>
      <c r="CD15" s="52"/>
      <c r="CE15" s="22"/>
      <c r="CF15" s="8"/>
      <c r="CG15" s="8"/>
      <c r="CH15" s="52"/>
      <c r="CI15" s="22"/>
      <c r="CJ15" s="102"/>
      <c r="CK15" s="102"/>
      <c r="CL15" s="142"/>
      <c r="FF15" s="138">
        <f t="shared" si="24"/>
        <v>46266</v>
      </c>
      <c r="HF15" s="23" cm="1">
        <f t="array" aca="1" ref="HF15" ca="1">IFERROR(IF(HI15="","",TEXT(DAY(HH15)&amp;"/"&amp;MONTH(INDIRECT("HG"&amp;HL15))&amp;"/"&amp;YEAR(INDIRECT("HG"&amp;HL15))+0,"DD/MM/YYYY"))+0,"")</f>
        <v>45971</v>
      </c>
      <c r="HG15" s="1" t="str">
        <f ca="1"/>
        <v>Alquiler Distribuidora</v>
      </c>
      <c r="HH15" s="1">
        <f ca="1"/>
        <v>10</v>
      </c>
      <c r="HI15" s="139">
        <f ca="1"/>
        <v>500000</v>
      </c>
      <c r="HJ15" s="1" t="str">
        <f ca="1"/>
        <v/>
      </c>
      <c r="HK15" s="1" t="str">
        <f ca="1"/>
        <v>SI</v>
      </c>
      <c r="HL15" s="1">
        <f t="shared" ca="1" si="22"/>
        <v>3</v>
      </c>
    </row>
    <row r="16" spans="1:220" ht="15" x14ac:dyDescent="0.25">
      <c r="A16" s="1" t="str">
        <f ca="1"/>
        <v>Alquiler Distribuidora</v>
      </c>
      <c r="B16" s="42">
        <f ca="1"/>
        <v>10</v>
      </c>
      <c r="C16" s="102">
        <f ca="1"/>
        <v>600000</v>
      </c>
      <c r="D16" s="133" t="str">
        <f ca="1"/>
        <v/>
      </c>
      <c r="E16" s="3" t="str">
        <f ca="1"/>
        <v/>
      </c>
      <c r="F16" s="140">
        <f t="shared" ca="1" si="19"/>
        <v>6</v>
      </c>
      <c r="G16" s="135" t="str">
        <f t="shared" ca="1" si="20"/>
        <v>Ir</v>
      </c>
      <c r="H16" s="7">
        <f t="shared" si="23"/>
        <v>14</v>
      </c>
      <c r="I16" s="1" t="s">
        <v>13</v>
      </c>
      <c r="K16" s="3">
        <v>10</v>
      </c>
      <c r="N16" s="14"/>
      <c r="O16" s="22">
        <v>10</v>
      </c>
      <c r="P16" s="8">
        <v>500000</v>
      </c>
      <c r="Q16" s="52"/>
      <c r="R16" s="9" t="s">
        <v>48</v>
      </c>
      <c r="S16" s="22">
        <f t="shared" si="34"/>
        <v>10</v>
      </c>
      <c r="T16" s="8">
        <f t="shared" si="35"/>
        <v>500000</v>
      </c>
      <c r="U16" s="52"/>
      <c r="V16" s="9" t="s">
        <v>48</v>
      </c>
      <c r="W16" s="22">
        <f t="shared" si="36"/>
        <v>10</v>
      </c>
      <c r="X16" s="8">
        <f t="shared" si="29"/>
        <v>500000</v>
      </c>
      <c r="Y16" s="52"/>
      <c r="Z16" s="9" t="s">
        <v>48</v>
      </c>
      <c r="AA16" s="22">
        <f t="shared" si="37"/>
        <v>10</v>
      </c>
      <c r="AB16" s="8">
        <v>600000</v>
      </c>
      <c r="AC16" s="52"/>
      <c r="AD16" s="9" t="s">
        <v>48</v>
      </c>
      <c r="AE16" s="22">
        <f t="shared" si="38"/>
        <v>10</v>
      </c>
      <c r="AF16" s="8">
        <f t="shared" si="30"/>
        <v>600000</v>
      </c>
      <c r="AG16" s="52"/>
      <c r="AH16" s="9" t="s">
        <v>48</v>
      </c>
      <c r="AI16" s="22">
        <f t="shared" si="39"/>
        <v>10</v>
      </c>
      <c r="AJ16" s="8">
        <f t="shared" si="31"/>
        <v>600000</v>
      </c>
      <c r="AK16" s="52"/>
      <c r="AL16" s="9" t="s">
        <v>48</v>
      </c>
      <c r="AM16" s="22">
        <f t="shared" si="40"/>
        <v>10</v>
      </c>
      <c r="AN16" s="8">
        <f t="shared" si="32"/>
        <v>600000</v>
      </c>
      <c r="AO16" s="52"/>
      <c r="AP16" s="9" t="s">
        <v>48</v>
      </c>
      <c r="AQ16" s="22">
        <f t="shared" si="41"/>
        <v>10</v>
      </c>
      <c r="AR16" s="8">
        <f t="shared" si="42"/>
        <v>600000</v>
      </c>
      <c r="AS16" s="52"/>
      <c r="AT16" s="9"/>
      <c r="AU16" s="22">
        <f t="shared" si="43"/>
        <v>10</v>
      </c>
      <c r="AV16" s="8">
        <f t="shared" si="33"/>
        <v>600000</v>
      </c>
      <c r="AW16" s="52"/>
      <c r="AX16" s="9"/>
      <c r="AY16" s="22">
        <f t="shared" si="44"/>
        <v>10</v>
      </c>
      <c r="AZ16" s="8">
        <f t="shared" si="45"/>
        <v>600000</v>
      </c>
      <c r="BA16" s="52"/>
      <c r="BB16" s="9"/>
      <c r="BC16" s="22">
        <f t="shared" si="46"/>
        <v>10</v>
      </c>
      <c r="BD16" s="8">
        <f t="shared" si="47"/>
        <v>600000</v>
      </c>
      <c r="BE16" s="52"/>
      <c r="BF16" s="9"/>
      <c r="BG16" s="22">
        <f t="shared" si="48"/>
        <v>10</v>
      </c>
      <c r="BH16" s="8">
        <f t="shared" si="49"/>
        <v>600000</v>
      </c>
      <c r="BI16" s="52"/>
      <c r="BJ16" s="9"/>
      <c r="BK16" s="22">
        <f t="shared" si="50"/>
        <v>10</v>
      </c>
      <c r="BL16" s="8">
        <f t="shared" si="51"/>
        <v>600000</v>
      </c>
      <c r="BM16" s="52"/>
      <c r="BN16" s="9"/>
      <c r="BO16" s="22">
        <f t="shared" si="52"/>
        <v>10</v>
      </c>
      <c r="BP16" s="8">
        <f t="shared" si="53"/>
        <v>600000</v>
      </c>
      <c r="BQ16" s="52"/>
      <c r="BR16" s="9"/>
      <c r="BS16" s="22">
        <f t="shared" si="54"/>
        <v>10</v>
      </c>
      <c r="BT16" s="8">
        <f t="shared" si="55"/>
        <v>600000</v>
      </c>
      <c r="BU16" s="52"/>
      <c r="BV16" s="9"/>
      <c r="BW16" s="22"/>
      <c r="BX16" s="8"/>
      <c r="BY16" s="52"/>
      <c r="BZ16" s="9"/>
      <c r="CA16" s="22"/>
      <c r="CB16" s="8"/>
      <c r="CC16" s="8"/>
      <c r="CD16" s="52"/>
      <c r="CE16" s="22"/>
      <c r="CF16" s="8"/>
      <c r="CG16" s="8"/>
      <c r="CH16" s="52"/>
      <c r="CI16" s="22"/>
      <c r="CJ16" s="102"/>
      <c r="CK16" s="102"/>
      <c r="CL16" s="142"/>
      <c r="FF16" s="138">
        <f t="shared" si="24"/>
        <v>46296</v>
      </c>
      <c r="HF16" s="23" cm="1">
        <f t="array" aca="1" ref="HF16" ca="1">IFERROR(IF(HI16="","",TEXT(DAY(HH16)&amp;"/"&amp;MONTH(INDIRECT("HG"&amp;HL16))&amp;"/"&amp;YEAR(INDIRECT("HG"&amp;HL16))+0,"DD/MM/YYYY"))+0,"")</f>
        <v>45971</v>
      </c>
      <c r="HG16" s="1" t="str">
        <f ca="1"/>
        <v>Alquiler Casa</v>
      </c>
      <c r="HH16" s="1">
        <f ca="1"/>
        <v>10</v>
      </c>
      <c r="HI16" s="139">
        <f ca="1"/>
        <v>250000</v>
      </c>
      <c r="HJ16" s="1" t="str">
        <f ca="1"/>
        <v/>
      </c>
      <c r="HK16" s="1" t="str">
        <f ca="1"/>
        <v>SI</v>
      </c>
      <c r="HL16" s="1">
        <f t="shared" ca="1" si="22"/>
        <v>3</v>
      </c>
    </row>
    <row r="17" spans="1:220" ht="15" x14ac:dyDescent="0.25">
      <c r="A17" s="1" t="str">
        <f ca="1"/>
        <v>Alquiler Casa</v>
      </c>
      <c r="B17" s="42">
        <f ca="1"/>
        <v>10</v>
      </c>
      <c r="C17" s="102">
        <f ca="1"/>
        <v>350000</v>
      </c>
      <c r="D17" s="133" t="str">
        <f ca="1"/>
        <v/>
      </c>
      <c r="E17" s="3" t="str">
        <f ca="1"/>
        <v/>
      </c>
      <c r="F17" s="140">
        <f t="shared" ca="1" si="19"/>
        <v>6</v>
      </c>
      <c r="G17" s="135" t="str">
        <f t="shared" ca="1" si="20"/>
        <v>Ir</v>
      </c>
      <c r="H17" s="7">
        <f t="shared" si="23"/>
        <v>15</v>
      </c>
      <c r="I17" s="1" t="s">
        <v>14</v>
      </c>
      <c r="K17" s="3">
        <v>10</v>
      </c>
      <c r="N17" s="14"/>
      <c r="O17" s="22">
        <v>10</v>
      </c>
      <c r="P17" s="8">
        <v>250000</v>
      </c>
      <c r="Q17" s="52"/>
      <c r="R17" s="9" t="s">
        <v>48</v>
      </c>
      <c r="S17" s="22">
        <f t="shared" si="34"/>
        <v>10</v>
      </c>
      <c r="T17" s="8">
        <f t="shared" si="35"/>
        <v>250000</v>
      </c>
      <c r="U17" s="52"/>
      <c r="V17" s="9" t="s">
        <v>48</v>
      </c>
      <c r="W17" s="22">
        <f t="shared" si="36"/>
        <v>10</v>
      </c>
      <c r="X17" s="8">
        <f t="shared" si="29"/>
        <v>250000</v>
      </c>
      <c r="Y17" s="52"/>
      <c r="Z17" s="9" t="s">
        <v>48</v>
      </c>
      <c r="AA17" s="22">
        <f t="shared" si="37"/>
        <v>10</v>
      </c>
      <c r="AB17" s="8">
        <f t="shared" si="62"/>
        <v>250000</v>
      </c>
      <c r="AC17" s="52"/>
      <c r="AD17" s="9" t="s">
        <v>48</v>
      </c>
      <c r="AE17" s="22">
        <f t="shared" si="38"/>
        <v>10</v>
      </c>
      <c r="AF17" s="8">
        <v>350000</v>
      </c>
      <c r="AG17" s="52"/>
      <c r="AH17" s="9" t="s">
        <v>48</v>
      </c>
      <c r="AI17" s="22">
        <f t="shared" si="39"/>
        <v>10</v>
      </c>
      <c r="AJ17" s="8">
        <f t="shared" si="31"/>
        <v>350000</v>
      </c>
      <c r="AK17" s="52"/>
      <c r="AL17" s="9" t="s">
        <v>48</v>
      </c>
      <c r="AM17" s="22">
        <f t="shared" si="40"/>
        <v>10</v>
      </c>
      <c r="AN17" s="8">
        <f t="shared" si="32"/>
        <v>350000</v>
      </c>
      <c r="AO17" s="52"/>
      <c r="AP17" s="9" t="s">
        <v>48</v>
      </c>
      <c r="AQ17" s="22">
        <f t="shared" si="41"/>
        <v>10</v>
      </c>
      <c r="AR17" s="8">
        <f t="shared" si="42"/>
        <v>350000</v>
      </c>
      <c r="AS17" s="52"/>
      <c r="AT17" s="9"/>
      <c r="AU17" s="22">
        <f t="shared" si="43"/>
        <v>10</v>
      </c>
      <c r="AV17" s="8">
        <f t="shared" si="33"/>
        <v>350000</v>
      </c>
      <c r="AW17" s="52"/>
      <c r="AX17" s="9"/>
      <c r="AY17" s="22">
        <f t="shared" si="44"/>
        <v>10</v>
      </c>
      <c r="AZ17" s="8">
        <f t="shared" si="45"/>
        <v>350000</v>
      </c>
      <c r="BA17" s="52"/>
      <c r="BB17" s="9"/>
      <c r="BC17" s="22">
        <f t="shared" si="46"/>
        <v>10</v>
      </c>
      <c r="BD17" s="8">
        <f t="shared" si="47"/>
        <v>350000</v>
      </c>
      <c r="BE17" s="52"/>
      <c r="BF17" s="9"/>
      <c r="BG17" s="22">
        <f t="shared" si="48"/>
        <v>10</v>
      </c>
      <c r="BH17" s="8">
        <f t="shared" si="49"/>
        <v>350000</v>
      </c>
      <c r="BI17" s="52"/>
      <c r="BJ17" s="9"/>
      <c r="BK17" s="22">
        <f t="shared" si="50"/>
        <v>10</v>
      </c>
      <c r="BL17" s="8">
        <f t="shared" si="51"/>
        <v>350000</v>
      </c>
      <c r="BM17" s="52"/>
      <c r="BN17" s="9"/>
      <c r="BO17" s="22">
        <f t="shared" si="52"/>
        <v>10</v>
      </c>
      <c r="BP17" s="8">
        <f t="shared" si="53"/>
        <v>350000</v>
      </c>
      <c r="BQ17" s="52"/>
      <c r="BR17" s="9"/>
      <c r="BS17" s="22">
        <f t="shared" si="54"/>
        <v>10</v>
      </c>
      <c r="BT17" s="8">
        <f t="shared" si="55"/>
        <v>350000</v>
      </c>
      <c r="BU17" s="52"/>
      <c r="BV17" s="9"/>
      <c r="BW17" s="22"/>
      <c r="BX17" s="8"/>
      <c r="BY17" s="52"/>
      <c r="BZ17" s="9"/>
      <c r="CA17" s="22"/>
      <c r="CB17" s="8"/>
      <c r="CC17" s="8"/>
      <c r="CD17" s="52"/>
      <c r="CE17" s="22"/>
      <c r="CF17" s="8"/>
      <c r="CG17" s="8"/>
      <c r="CH17" s="52"/>
      <c r="CI17" s="22"/>
      <c r="CJ17" s="102"/>
      <c r="CK17" s="102"/>
      <c r="CL17" s="142"/>
      <c r="FF17" s="138">
        <f t="shared" si="24"/>
        <v>46327</v>
      </c>
      <c r="HF17" s="23" cm="1">
        <f t="array" aca="1" ref="HF17" ca="1">IFERROR(IF(HI17="","",TEXT(DAY(HH17)&amp;"/"&amp;MONTH(INDIRECT("HG"&amp;HL17))&amp;"/"&amp;YEAR(INDIRECT("HG"&amp;HL17))+0,"DD/MM/YYYY"))+0,"")</f>
        <v>45971</v>
      </c>
      <c r="HG17" s="1" t="str">
        <f ca="1"/>
        <v>Mel diseño grafico</v>
      </c>
      <c r="HH17" s="1">
        <f ca="1"/>
        <v>10</v>
      </c>
      <c r="HI17" s="139">
        <f ca="1"/>
        <v>450000</v>
      </c>
      <c r="HJ17" s="1" t="str">
        <f ca="1"/>
        <v/>
      </c>
      <c r="HK17" s="1" t="str">
        <f ca="1"/>
        <v>SI</v>
      </c>
      <c r="HL17" s="1">
        <f t="shared" ca="1" si="22"/>
        <v>3</v>
      </c>
    </row>
    <row r="18" spans="1:220" ht="15" x14ac:dyDescent="0.25">
      <c r="A18" s="1" t="str">
        <f ca="1"/>
        <v>Mel diseño grafico</v>
      </c>
      <c r="B18" s="42">
        <f ca="1"/>
        <v>10</v>
      </c>
      <c r="C18" s="141">
        <f ca="1"/>
        <v>430000</v>
      </c>
      <c r="D18" s="133" t="str">
        <f ca="1"/>
        <v/>
      </c>
      <c r="E18" s="134" t="str">
        <f ca="1"/>
        <v/>
      </c>
      <c r="F18" s="140">
        <f t="shared" ca="1" si="19"/>
        <v>6</v>
      </c>
      <c r="G18" s="135" t="str">
        <f t="shared" ca="1" si="20"/>
        <v>Ir</v>
      </c>
      <c r="H18" s="7">
        <f t="shared" si="23"/>
        <v>16</v>
      </c>
      <c r="I18" s="1" t="s">
        <v>15</v>
      </c>
      <c r="K18" s="3">
        <v>10</v>
      </c>
      <c r="N18" s="14"/>
      <c r="O18" s="22">
        <v>10</v>
      </c>
      <c r="P18" s="8">
        <v>450000</v>
      </c>
      <c r="Q18" s="52"/>
      <c r="R18" s="9" t="s">
        <v>48</v>
      </c>
      <c r="S18" s="22">
        <f t="shared" si="34"/>
        <v>10</v>
      </c>
      <c r="T18" s="8">
        <f t="shared" si="35"/>
        <v>450000</v>
      </c>
      <c r="U18" s="52"/>
      <c r="V18" s="9" t="s">
        <v>48</v>
      </c>
      <c r="W18" s="22">
        <f t="shared" si="36"/>
        <v>10</v>
      </c>
      <c r="X18" s="8">
        <f t="shared" si="29"/>
        <v>450000</v>
      </c>
      <c r="Y18" s="52"/>
      <c r="Z18" s="9" t="s">
        <v>48</v>
      </c>
      <c r="AA18" s="22">
        <f t="shared" si="37"/>
        <v>10</v>
      </c>
      <c r="AB18" s="8">
        <v>500000</v>
      </c>
      <c r="AC18" s="52"/>
      <c r="AD18" s="9" t="s">
        <v>48</v>
      </c>
      <c r="AE18" s="22">
        <f t="shared" si="38"/>
        <v>10</v>
      </c>
      <c r="AF18" s="8">
        <v>550000</v>
      </c>
      <c r="AG18" s="52"/>
      <c r="AH18" s="9" t="s">
        <v>48</v>
      </c>
      <c r="AI18" s="22">
        <f t="shared" si="39"/>
        <v>10</v>
      </c>
      <c r="AJ18" s="8">
        <f>+AF18-125000</f>
        <v>425000</v>
      </c>
      <c r="AK18" s="50"/>
      <c r="AL18" s="9" t="s">
        <v>48</v>
      </c>
      <c r="AM18" s="22">
        <f t="shared" si="40"/>
        <v>10</v>
      </c>
      <c r="AN18" s="8">
        <v>430000</v>
      </c>
      <c r="AO18" s="52"/>
      <c r="AP18" s="9" t="s">
        <v>48</v>
      </c>
      <c r="AQ18" s="22">
        <f t="shared" si="41"/>
        <v>10</v>
      </c>
      <c r="AR18" s="8">
        <f t="shared" si="42"/>
        <v>430000</v>
      </c>
      <c r="AS18" s="52"/>
      <c r="AT18" s="9"/>
      <c r="AU18" s="22">
        <f t="shared" si="43"/>
        <v>10</v>
      </c>
      <c r="AV18" s="8">
        <f t="shared" si="33"/>
        <v>430000</v>
      </c>
      <c r="AW18" s="52"/>
      <c r="AX18" s="9"/>
      <c r="AY18" s="22">
        <f t="shared" si="44"/>
        <v>10</v>
      </c>
      <c r="AZ18" s="8">
        <f t="shared" si="45"/>
        <v>430000</v>
      </c>
      <c r="BA18" s="52"/>
      <c r="BB18" s="9"/>
      <c r="BC18" s="22">
        <f t="shared" si="46"/>
        <v>10</v>
      </c>
      <c r="BD18" s="8">
        <f t="shared" si="47"/>
        <v>430000</v>
      </c>
      <c r="BE18" s="52"/>
      <c r="BF18" s="9"/>
      <c r="BG18" s="22">
        <f t="shared" si="48"/>
        <v>10</v>
      </c>
      <c r="BH18" s="8">
        <f t="shared" si="49"/>
        <v>430000</v>
      </c>
      <c r="BI18" s="52"/>
      <c r="BJ18" s="9"/>
      <c r="BK18" s="22">
        <f t="shared" si="50"/>
        <v>10</v>
      </c>
      <c r="BL18" s="8">
        <f t="shared" si="51"/>
        <v>430000</v>
      </c>
      <c r="BM18" s="52"/>
      <c r="BN18" s="9"/>
      <c r="BO18" s="22">
        <f t="shared" si="52"/>
        <v>10</v>
      </c>
      <c r="BP18" s="8">
        <f t="shared" si="53"/>
        <v>430000</v>
      </c>
      <c r="BQ18" s="52"/>
      <c r="BR18" s="9"/>
      <c r="BS18" s="22">
        <f t="shared" si="54"/>
        <v>10</v>
      </c>
      <c r="BT18" s="8">
        <f t="shared" si="55"/>
        <v>430000</v>
      </c>
      <c r="BU18" s="52"/>
      <c r="BV18" s="9"/>
      <c r="BW18" s="22"/>
      <c r="BX18" s="8"/>
      <c r="BY18" s="52"/>
      <c r="BZ18" s="9"/>
      <c r="CA18" s="22"/>
      <c r="CB18" s="8"/>
      <c r="CC18" s="8"/>
      <c r="CD18" s="52"/>
      <c r="CE18" s="22"/>
      <c r="CF18" s="8"/>
      <c r="CG18" s="8"/>
      <c r="CH18" s="52"/>
      <c r="CI18" s="22"/>
      <c r="CJ18" s="102"/>
      <c r="CK18" s="102"/>
      <c r="CL18" s="142"/>
      <c r="FF18" s="138">
        <f t="shared" si="24"/>
        <v>46357</v>
      </c>
      <c r="HF18" s="23" cm="1">
        <f t="array" aca="1" ref="HF18" ca="1">IFERROR(IF(HI18="","",TEXT(DAY(HH18)&amp;"/"&amp;MONTH(INDIRECT("HG"&amp;HL18))&amp;"/"&amp;YEAR(INDIRECT("HG"&amp;HL18))+0,"DD/MM/YYYY"))+0,"")</f>
        <v>45971</v>
      </c>
      <c r="HG18" s="1" t="str">
        <f ca="1"/>
        <v>Contador</v>
      </c>
      <c r="HH18" s="1">
        <f ca="1"/>
        <v>10</v>
      </c>
      <c r="HI18" s="139">
        <f ca="1"/>
        <v>145000</v>
      </c>
      <c r="HJ18" s="1" t="str">
        <f ca="1"/>
        <v/>
      </c>
      <c r="HK18" s="1" t="str">
        <f ca="1"/>
        <v>SI</v>
      </c>
      <c r="HL18" s="1">
        <f t="shared" ca="1" si="22"/>
        <v>3</v>
      </c>
    </row>
    <row r="19" spans="1:220" ht="15" x14ac:dyDescent="0.25">
      <c r="A19" s="1" t="str">
        <f ca="1"/>
        <v>Contador</v>
      </c>
      <c r="B19" s="42">
        <f ca="1"/>
        <v>10</v>
      </c>
      <c r="C19" s="141">
        <f ca="1"/>
        <v>165000</v>
      </c>
      <c r="D19" s="133" t="str">
        <f ca="1"/>
        <v/>
      </c>
      <c r="E19" s="134" t="str">
        <f ca="1"/>
        <v/>
      </c>
      <c r="F19" s="140">
        <f t="shared" ca="1" si="19"/>
        <v>6</v>
      </c>
      <c r="G19" s="135" t="str">
        <f t="shared" ca="1" si="20"/>
        <v>Ir</v>
      </c>
      <c r="H19" s="7">
        <f>+H18+1</f>
        <v>17</v>
      </c>
      <c r="I19" s="1" t="s">
        <v>16</v>
      </c>
      <c r="K19" s="3">
        <v>10</v>
      </c>
      <c r="N19" s="14"/>
      <c r="O19" s="22">
        <v>10</v>
      </c>
      <c r="P19" s="8">
        <v>145000</v>
      </c>
      <c r="Q19" s="52"/>
      <c r="R19" s="9" t="s">
        <v>48</v>
      </c>
      <c r="S19" s="22">
        <f t="shared" si="34"/>
        <v>10</v>
      </c>
      <c r="T19" s="8">
        <f t="shared" si="35"/>
        <v>145000</v>
      </c>
      <c r="U19" s="52"/>
      <c r="V19" s="9" t="s">
        <v>48</v>
      </c>
      <c r="W19" s="22">
        <f t="shared" si="36"/>
        <v>10</v>
      </c>
      <c r="X19" s="8">
        <v>150000</v>
      </c>
      <c r="Y19" s="52"/>
      <c r="Z19" s="9" t="s">
        <v>48</v>
      </c>
      <c r="AA19" s="22">
        <f t="shared" si="37"/>
        <v>10</v>
      </c>
      <c r="AB19" s="8">
        <f t="shared" si="62"/>
        <v>150000</v>
      </c>
      <c r="AC19" s="52"/>
      <c r="AD19" s="9" t="s">
        <v>48</v>
      </c>
      <c r="AE19" s="22">
        <f t="shared" si="38"/>
        <v>10</v>
      </c>
      <c r="AF19" s="8">
        <f t="shared" si="30"/>
        <v>150000</v>
      </c>
      <c r="AG19" s="52"/>
      <c r="AH19" s="9" t="s">
        <v>48</v>
      </c>
      <c r="AI19" s="22">
        <f t="shared" si="39"/>
        <v>10</v>
      </c>
      <c r="AJ19" s="8">
        <f t="shared" si="31"/>
        <v>150000</v>
      </c>
      <c r="AK19" s="52"/>
      <c r="AL19" s="9" t="s">
        <v>48</v>
      </c>
      <c r="AM19" s="22">
        <f t="shared" si="40"/>
        <v>10</v>
      </c>
      <c r="AN19" s="8">
        <v>165000</v>
      </c>
      <c r="AO19" s="52"/>
      <c r="AP19" s="9" t="s">
        <v>48</v>
      </c>
      <c r="AQ19" s="22">
        <f t="shared" si="41"/>
        <v>10</v>
      </c>
      <c r="AR19" s="8">
        <f t="shared" si="42"/>
        <v>165000</v>
      </c>
      <c r="AS19" s="52"/>
      <c r="AT19" s="9"/>
      <c r="AU19" s="22">
        <f t="shared" si="43"/>
        <v>10</v>
      </c>
      <c r="AV19" s="8">
        <f t="shared" si="33"/>
        <v>165000</v>
      </c>
      <c r="AW19" s="52"/>
      <c r="AX19" s="9"/>
      <c r="AY19" s="22">
        <f t="shared" si="44"/>
        <v>10</v>
      </c>
      <c r="AZ19" s="8">
        <f t="shared" si="45"/>
        <v>165000</v>
      </c>
      <c r="BA19" s="52"/>
      <c r="BB19" s="9"/>
      <c r="BC19" s="22">
        <f t="shared" si="46"/>
        <v>10</v>
      </c>
      <c r="BD19" s="8">
        <f t="shared" si="47"/>
        <v>165000</v>
      </c>
      <c r="BE19" s="52"/>
      <c r="BF19" s="9"/>
      <c r="BG19" s="22">
        <f t="shared" si="48"/>
        <v>10</v>
      </c>
      <c r="BH19" s="8">
        <f t="shared" si="49"/>
        <v>165000</v>
      </c>
      <c r="BI19" s="52"/>
      <c r="BJ19" s="9"/>
      <c r="BK19" s="22">
        <f t="shared" si="50"/>
        <v>10</v>
      </c>
      <c r="BL19" s="8">
        <f t="shared" si="51"/>
        <v>165000</v>
      </c>
      <c r="BM19" s="52"/>
      <c r="BN19" s="9"/>
      <c r="BO19" s="22">
        <f t="shared" si="52"/>
        <v>10</v>
      </c>
      <c r="BP19" s="8">
        <f t="shared" si="53"/>
        <v>165000</v>
      </c>
      <c r="BQ19" s="52"/>
      <c r="BR19" s="9"/>
      <c r="BS19" s="22">
        <f t="shared" si="54"/>
        <v>10</v>
      </c>
      <c r="BT19" s="8">
        <f t="shared" si="55"/>
        <v>165000</v>
      </c>
      <c r="BU19" s="52"/>
      <c r="BV19" s="9"/>
      <c r="BW19" s="22"/>
      <c r="BX19" s="8"/>
      <c r="BY19" s="52"/>
      <c r="BZ19" s="9"/>
      <c r="CA19" s="22"/>
      <c r="CB19" s="8"/>
      <c r="CC19" s="8"/>
      <c r="CD19" s="52"/>
      <c r="CE19" s="22"/>
      <c r="CF19" s="8"/>
      <c r="CG19" s="8"/>
      <c r="CH19" s="52"/>
      <c r="CI19" s="22"/>
      <c r="CJ19" s="102"/>
      <c r="CK19" s="102"/>
      <c r="CL19" s="142"/>
      <c r="FF19" s="138">
        <f>+EDATE(FF18,1)</f>
        <v>46388</v>
      </c>
      <c r="HF19" s="23" cm="1">
        <f t="array" aca="1" ref="HF19" ca="1">IFERROR(IF(HI19="","",TEXT(DAY(HH19)&amp;"/"&amp;MONTH(INDIRECT("HG"&amp;HL19))&amp;"/"&amp;YEAR(INDIRECT("HG"&amp;HL19))+0,"DD/MM/YYYY"))+0,"")</f>
        <v>45971</v>
      </c>
      <c r="HG19" s="1" t="str">
        <f ca="1"/>
        <v>Monotributo IVAN</v>
      </c>
      <c r="HH19" s="1">
        <f ca="1"/>
        <v>10</v>
      </c>
      <c r="HI19" s="139">
        <f ca="1"/>
        <v>45000</v>
      </c>
      <c r="HJ19" s="1" t="str">
        <f ca="1"/>
        <v/>
      </c>
      <c r="HK19" s="1" t="str">
        <f ca="1"/>
        <v>SI</v>
      </c>
      <c r="HL19" s="1">
        <f ca="1">+IF(ISNUMBER(HG19),ROW(),HL18)</f>
        <v>3</v>
      </c>
    </row>
    <row r="20" spans="1:220" ht="15" x14ac:dyDescent="0.25">
      <c r="A20" s="1" t="str">
        <f ca="1"/>
        <v>Cargas Sociales</v>
      </c>
      <c r="B20" s="42">
        <f ca="1"/>
        <v>10</v>
      </c>
      <c r="C20" s="102">
        <f ca="1"/>
        <v>831762</v>
      </c>
      <c r="D20" s="133" t="str">
        <f ca="1"/>
        <v/>
      </c>
      <c r="E20" s="134" t="str">
        <f ca="1"/>
        <v/>
      </c>
      <c r="F20" s="140">
        <f t="shared" ca="1" si="19"/>
        <v>6</v>
      </c>
      <c r="G20" s="135" t="str">
        <f t="shared" ca="1" si="20"/>
        <v>Ir</v>
      </c>
      <c r="H20" s="7">
        <f t="shared" si="23"/>
        <v>18</v>
      </c>
      <c r="I20" s="1" t="s">
        <v>17</v>
      </c>
      <c r="K20" s="3">
        <v>20</v>
      </c>
      <c r="N20" s="14"/>
      <c r="O20" s="22">
        <v>20</v>
      </c>
      <c r="P20" s="8">
        <v>375705</v>
      </c>
      <c r="Q20" s="52"/>
      <c r="R20" s="25" t="s">
        <v>48</v>
      </c>
      <c r="S20" s="22">
        <f t="shared" si="34"/>
        <v>20</v>
      </c>
      <c r="T20" s="8">
        <f t="shared" si="35"/>
        <v>375705</v>
      </c>
      <c r="U20" s="52"/>
      <c r="V20" s="9" t="s">
        <v>48</v>
      </c>
      <c r="W20" s="22">
        <f t="shared" si="36"/>
        <v>20</v>
      </c>
      <c r="X20" s="8">
        <v>401600</v>
      </c>
      <c r="Y20" s="52"/>
      <c r="Z20" s="9" t="s">
        <v>48</v>
      </c>
      <c r="AA20" s="22">
        <f t="shared" si="37"/>
        <v>20</v>
      </c>
      <c r="AB20" s="8">
        <f t="shared" si="62"/>
        <v>401600</v>
      </c>
      <c r="AC20" s="52"/>
      <c r="AD20" s="9" t="s">
        <v>48</v>
      </c>
      <c r="AE20" s="22">
        <f t="shared" si="38"/>
        <v>20</v>
      </c>
      <c r="AF20" s="8">
        <v>400207</v>
      </c>
      <c r="AG20" s="52"/>
      <c r="AH20" s="9" t="s">
        <v>48</v>
      </c>
      <c r="AI20" s="22">
        <f t="shared" si="39"/>
        <v>20</v>
      </c>
      <c r="AJ20" s="8">
        <v>390678</v>
      </c>
      <c r="AK20" s="52"/>
      <c r="AL20" s="9" t="s">
        <v>48</v>
      </c>
      <c r="AM20" s="22">
        <f t="shared" si="40"/>
        <v>20</v>
      </c>
      <c r="AN20" s="8">
        <v>382511.25</v>
      </c>
      <c r="AO20" s="52"/>
      <c r="AP20" s="9" t="s">
        <v>48</v>
      </c>
      <c r="AQ20" s="22">
        <f t="shared" si="41"/>
        <v>20</v>
      </c>
      <c r="AR20" s="8">
        <f t="shared" si="42"/>
        <v>382511.25</v>
      </c>
      <c r="AS20" s="52"/>
      <c r="AT20" s="9"/>
      <c r="AU20" s="22">
        <f t="shared" si="43"/>
        <v>20</v>
      </c>
      <c r="AV20" s="8">
        <f t="shared" si="33"/>
        <v>382511.25</v>
      </c>
      <c r="AW20" s="52"/>
      <c r="AX20" s="9"/>
      <c r="AY20" s="22">
        <f t="shared" si="44"/>
        <v>20</v>
      </c>
      <c r="AZ20" s="8">
        <f t="shared" si="45"/>
        <v>382511.25</v>
      </c>
      <c r="BA20" s="52"/>
      <c r="BB20" s="9"/>
      <c r="BC20" s="22">
        <f t="shared" si="46"/>
        <v>20</v>
      </c>
      <c r="BD20" s="8">
        <f t="shared" si="47"/>
        <v>382511.25</v>
      </c>
      <c r="BE20" s="52"/>
      <c r="BF20" s="9"/>
      <c r="BG20" s="22">
        <f t="shared" si="48"/>
        <v>20</v>
      </c>
      <c r="BH20" s="8">
        <f t="shared" si="49"/>
        <v>382511.25</v>
      </c>
      <c r="BI20" s="52"/>
      <c r="BJ20" s="9"/>
      <c r="BK20" s="22">
        <f t="shared" si="50"/>
        <v>20</v>
      </c>
      <c r="BL20" s="8">
        <f t="shared" si="51"/>
        <v>382511.25</v>
      </c>
      <c r="BM20" s="52"/>
      <c r="BN20" s="9"/>
      <c r="BO20" s="22">
        <f t="shared" si="52"/>
        <v>20</v>
      </c>
      <c r="BP20" s="8">
        <f t="shared" si="53"/>
        <v>382511.25</v>
      </c>
      <c r="BQ20" s="52"/>
      <c r="BR20" s="9"/>
      <c r="BS20" s="22">
        <f t="shared" si="54"/>
        <v>20</v>
      </c>
      <c r="BT20" s="8">
        <f t="shared" si="55"/>
        <v>382511.25</v>
      </c>
      <c r="BU20" s="52"/>
      <c r="BV20" s="9"/>
      <c r="BW20" s="22"/>
      <c r="BX20" s="8"/>
      <c r="BY20" s="52"/>
      <c r="BZ20" s="9"/>
      <c r="CA20" s="22"/>
      <c r="CB20" s="8"/>
      <c r="CC20" s="8"/>
      <c r="CD20" s="52"/>
      <c r="CE20" s="22"/>
      <c r="CF20" s="8"/>
      <c r="CG20" s="8"/>
      <c r="CH20" s="52"/>
      <c r="CI20" s="22"/>
      <c r="CJ20" s="102"/>
      <c r="CK20" s="102"/>
      <c r="CL20" s="142"/>
      <c r="FF20" s="138">
        <f t="shared" si="24"/>
        <v>46419</v>
      </c>
      <c r="HF20" s="23" cm="1">
        <f t="array" aca="1" ref="HF20" ca="1">IFERROR(IF(HI20="","",TEXT(DAY(HH20)&amp;"/"&amp;MONTH(INDIRECT("HG"&amp;HL20))&amp;"/"&amp;YEAR(INDIRECT("HG"&amp;HL20))+0,"DD/MM/YYYY"))+0,"")</f>
        <v>45971</v>
      </c>
      <c r="HG20" s="1" t="str">
        <f ca="1"/>
        <v>Monotributo Mayeski</v>
      </c>
      <c r="HH20" s="1">
        <f ca="1"/>
        <v>10</v>
      </c>
      <c r="HI20" s="139">
        <f ca="1"/>
        <v>45000</v>
      </c>
      <c r="HJ20" s="1" t="str">
        <f ca="1"/>
        <v/>
      </c>
      <c r="HK20" s="1" t="str">
        <f ca="1"/>
        <v>SI</v>
      </c>
      <c r="HL20" s="1">
        <f t="shared" ca="1" si="22"/>
        <v>3</v>
      </c>
    </row>
    <row r="21" spans="1:220" ht="15" x14ac:dyDescent="0.25">
      <c r="A21" s="1" t="str">
        <f ca="1"/>
        <v>Prestamo Galicia - SGR</v>
      </c>
      <c r="B21" s="42">
        <f ca="1"/>
        <v>14</v>
      </c>
      <c r="C21" s="102">
        <f ca="1"/>
        <v>1437968.04</v>
      </c>
      <c r="D21" s="133" t="str">
        <f ca="1"/>
        <v/>
      </c>
      <c r="E21" s="134" t="str">
        <f ca="1"/>
        <v/>
      </c>
      <c r="F21" s="140">
        <f t="shared" ca="1" si="19"/>
        <v>10</v>
      </c>
      <c r="G21" s="135" t="str">
        <f t="shared" ca="1" si="20"/>
        <v>Ir</v>
      </c>
      <c r="H21" s="7">
        <f t="shared" si="23"/>
        <v>19</v>
      </c>
      <c r="I21" s="1" t="s">
        <v>18</v>
      </c>
      <c r="K21" s="3">
        <v>20</v>
      </c>
      <c r="N21" s="14"/>
      <c r="O21" s="22">
        <v>20</v>
      </c>
      <c r="P21" s="8">
        <f>250000*1.21</f>
        <v>302500</v>
      </c>
      <c r="Q21" s="52"/>
      <c r="R21" s="9" t="s">
        <v>48</v>
      </c>
      <c r="S21" s="22">
        <f t="shared" si="34"/>
        <v>20</v>
      </c>
      <c r="T21" s="8">
        <f t="shared" si="35"/>
        <v>302500</v>
      </c>
      <c r="U21" s="52"/>
      <c r="V21" s="9" t="s">
        <v>48</v>
      </c>
      <c r="W21" s="22">
        <f t="shared" si="36"/>
        <v>20</v>
      </c>
      <c r="X21" s="8">
        <v>332750</v>
      </c>
      <c r="Y21" s="52"/>
      <c r="Z21" s="9"/>
      <c r="AA21" s="22"/>
      <c r="AB21" s="8"/>
      <c r="AC21" s="52"/>
      <c r="AD21" s="9"/>
      <c r="AE21" s="22"/>
      <c r="AF21" s="8"/>
      <c r="AG21" s="52"/>
      <c r="AH21" s="9"/>
      <c r="AI21" s="22"/>
      <c r="AJ21" s="8"/>
      <c r="AK21" s="52"/>
      <c r="AL21" s="9"/>
      <c r="AM21" s="22"/>
      <c r="AN21" s="8"/>
      <c r="AO21" s="52"/>
      <c r="AP21" s="9"/>
      <c r="AQ21" s="22"/>
      <c r="AR21" s="8"/>
      <c r="AS21" s="52"/>
      <c r="AT21" s="9"/>
      <c r="AU21" s="22"/>
      <c r="AV21" s="8"/>
      <c r="AW21" s="52"/>
      <c r="AX21" s="9"/>
      <c r="AY21" s="22"/>
      <c r="AZ21" s="8"/>
      <c r="BA21" s="52"/>
      <c r="BB21" s="9"/>
      <c r="BC21" s="22"/>
      <c r="BD21" s="8"/>
      <c r="BE21" s="52"/>
      <c r="BF21" s="9"/>
      <c r="BG21" s="22"/>
      <c r="BH21" s="8"/>
      <c r="BI21" s="52"/>
      <c r="BJ21" s="9"/>
      <c r="BK21" s="22"/>
      <c r="BL21" s="8"/>
      <c r="BM21" s="52"/>
      <c r="BN21" s="9"/>
      <c r="BO21" s="22"/>
      <c r="BP21" s="8"/>
      <c r="BQ21" s="52"/>
      <c r="BR21" s="9"/>
      <c r="BS21" s="22"/>
      <c r="BT21" s="8"/>
      <c r="BU21" s="52"/>
      <c r="BV21" s="9"/>
      <c r="BW21" s="22"/>
      <c r="BX21" s="8"/>
      <c r="BY21" s="52"/>
      <c r="BZ21" s="9"/>
      <c r="CA21" s="22"/>
      <c r="CB21" s="8"/>
      <c r="CC21" s="8"/>
      <c r="CD21" s="52"/>
      <c r="CE21" s="22"/>
      <c r="CF21" s="8"/>
      <c r="CG21" s="8"/>
      <c r="CH21" s="52"/>
      <c r="CI21" s="22"/>
      <c r="CJ21" s="102"/>
      <c r="CK21" s="102"/>
      <c r="CL21" s="142"/>
      <c r="FF21" s="138">
        <f t="shared" si="24"/>
        <v>46447</v>
      </c>
      <c r="HF21" s="23" cm="1">
        <f t="array" aca="1" ref="HF21" ca="1">IFERROR(IF(HI21="","",TEXT(DAY(HH21)&amp;"/"&amp;MONTH(INDIRECT("HG"&amp;HL21))&amp;"/"&amp;YEAR(INDIRECT("HG"&amp;HL21))+0,"DD/MM/YYYY"))+0,"")</f>
        <v>45971</v>
      </c>
      <c r="HG21" s="1" t="str">
        <f ca="1"/>
        <v>Monotributo David</v>
      </c>
      <c r="HH21" s="1">
        <f ca="1"/>
        <v>10</v>
      </c>
      <c r="HI21" s="139">
        <f ca="1"/>
        <v>45000</v>
      </c>
      <c r="HJ21" s="1" t="str">
        <f ca="1"/>
        <v/>
      </c>
      <c r="HK21" s="1" t="str">
        <f ca="1"/>
        <v>SI</v>
      </c>
      <c r="HL21" s="1">
        <f t="shared" ca="1" si="22"/>
        <v>3</v>
      </c>
    </row>
    <row r="22" spans="1:220" ht="15" x14ac:dyDescent="0.25">
      <c r="A22" s="1" t="str">
        <f ca="1"/>
        <v>Tarjeta Galicia + VISA</v>
      </c>
      <c r="B22" s="42">
        <f ca="1"/>
        <v>15</v>
      </c>
      <c r="C22" s="141">
        <f ca="1"/>
        <v>993345.68</v>
      </c>
      <c r="D22" s="133" t="str">
        <f ca="1"/>
        <v/>
      </c>
      <c r="E22" s="134" t="str">
        <f ca="1"/>
        <v/>
      </c>
      <c r="F22" s="140">
        <f t="shared" ca="1" si="19"/>
        <v>11</v>
      </c>
      <c r="G22" s="135" t="str">
        <f t="shared" ca="1" si="20"/>
        <v>Ir</v>
      </c>
      <c r="H22" s="7">
        <f t="shared" si="23"/>
        <v>20</v>
      </c>
      <c r="I22" s="1" t="s">
        <v>19</v>
      </c>
      <c r="K22" s="3">
        <v>25</v>
      </c>
      <c r="N22" s="14"/>
      <c r="O22" s="22">
        <v>25</v>
      </c>
      <c r="P22" s="8">
        <v>174636</v>
      </c>
      <c r="Q22" s="52"/>
      <c r="R22" s="9" t="s">
        <v>48</v>
      </c>
      <c r="S22" s="22">
        <f t="shared" si="34"/>
        <v>25</v>
      </c>
      <c r="T22" s="8">
        <f t="shared" si="35"/>
        <v>174636</v>
      </c>
      <c r="U22" s="52"/>
      <c r="V22" s="9" t="s">
        <v>48</v>
      </c>
      <c r="W22" s="22">
        <f t="shared" si="36"/>
        <v>25</v>
      </c>
      <c r="X22" s="8">
        <f t="shared" si="29"/>
        <v>174636</v>
      </c>
      <c r="Y22" s="52"/>
      <c r="Z22" s="9"/>
      <c r="AA22" s="22">
        <f t="shared" si="37"/>
        <v>25</v>
      </c>
      <c r="AB22" s="8">
        <f t="shared" si="62"/>
        <v>174636</v>
      </c>
      <c r="AC22" s="52"/>
      <c r="AD22" s="9" t="s">
        <v>48</v>
      </c>
      <c r="AE22" s="22"/>
      <c r="AF22" s="8"/>
      <c r="AG22" s="52"/>
      <c r="AH22" s="9"/>
      <c r="AI22" s="22"/>
      <c r="AJ22" s="8"/>
      <c r="AK22" s="52"/>
      <c r="AL22" s="9"/>
      <c r="AM22" s="22"/>
      <c r="AN22" s="8"/>
      <c r="AO22" s="52"/>
      <c r="AP22" s="9"/>
      <c r="AQ22" s="22"/>
      <c r="AR22" s="8"/>
      <c r="AS22" s="52"/>
      <c r="AT22" s="9"/>
      <c r="AU22" s="22"/>
      <c r="AV22" s="8"/>
      <c r="AW22" s="52"/>
      <c r="AX22" s="9"/>
      <c r="AY22" s="22"/>
      <c r="AZ22" s="8"/>
      <c r="BA22" s="52"/>
      <c r="BB22" s="9"/>
      <c r="BC22" s="22"/>
      <c r="BD22" s="8"/>
      <c r="BE22" s="52"/>
      <c r="BF22" s="9"/>
      <c r="BG22" s="22"/>
      <c r="BH22" s="8"/>
      <c r="BI22" s="52"/>
      <c r="BJ22" s="9"/>
      <c r="BK22" s="22"/>
      <c r="BL22" s="8"/>
      <c r="BM22" s="52"/>
      <c r="BN22" s="9"/>
      <c r="BO22" s="22"/>
      <c r="BP22" s="8"/>
      <c r="BQ22" s="52"/>
      <c r="BR22" s="9"/>
      <c r="BS22" s="22"/>
      <c r="BT22" s="8"/>
      <c r="BU22" s="52"/>
      <c r="BV22" s="9"/>
      <c r="BW22" s="22"/>
      <c r="BX22" s="8"/>
      <c r="BY22" s="52"/>
      <c r="BZ22" s="9"/>
      <c r="CA22" s="22"/>
      <c r="CB22" s="8"/>
      <c r="CC22" s="8"/>
      <c r="CD22" s="52"/>
      <c r="CE22" s="22"/>
      <c r="CF22" s="8"/>
      <c r="CG22" s="8"/>
      <c r="CH22" s="52"/>
      <c r="CI22" s="22"/>
      <c r="CJ22" s="102"/>
      <c r="CK22" s="102"/>
      <c r="CL22" s="142"/>
      <c r="FF22" s="138">
        <f t="shared" si="24"/>
        <v>46478</v>
      </c>
      <c r="HF22" s="23" cm="1">
        <f t="array" aca="1" ref="HF22" ca="1">IFERROR(IF(HI22="","",TEXT(DAY(HH22)&amp;"/"&amp;MONTH(INDIRECT("HG"&amp;HL22))&amp;"/"&amp;YEAR(INDIRECT("HG"&amp;HL22))+0,"DD/MM/YYYY"))+0,"")</f>
        <v>45974</v>
      </c>
      <c r="HG22" s="1" t="str">
        <f ca="1"/>
        <v>Tarjeta Frances</v>
      </c>
      <c r="HH22" s="1">
        <f ca="1"/>
        <v>13</v>
      </c>
      <c r="HI22" s="139">
        <f ca="1"/>
        <v>50000</v>
      </c>
      <c r="HJ22" s="1" t="str">
        <f ca="1"/>
        <v/>
      </c>
      <c r="HK22" s="1" t="str">
        <f ca="1"/>
        <v>SI</v>
      </c>
      <c r="HL22" s="1">
        <f t="shared" ca="1" si="22"/>
        <v>3</v>
      </c>
    </row>
    <row r="23" spans="1:220" ht="15" x14ac:dyDescent="0.25">
      <c r="A23" s="1" t="str">
        <f ca="1"/>
        <v>Tarjeta Galicia - BUSINESS</v>
      </c>
      <c r="B23" s="42">
        <f ca="1"/>
        <v>15</v>
      </c>
      <c r="C23" s="102">
        <f ca="1"/>
        <v>848160</v>
      </c>
      <c r="D23" s="133" t="str">
        <f ca="1"/>
        <v/>
      </c>
      <c r="E23" s="134" t="str">
        <f ca="1"/>
        <v/>
      </c>
      <c r="F23" s="140">
        <f t="shared" ca="1" si="19"/>
        <v>11</v>
      </c>
      <c r="G23" s="135" t="str">
        <f t="shared" ca="1" si="20"/>
        <v>Ir</v>
      </c>
      <c r="H23" s="7">
        <f t="shared" si="23"/>
        <v>21</v>
      </c>
      <c r="I23" s="1" t="s">
        <v>20</v>
      </c>
      <c r="K23" s="3">
        <v>7</v>
      </c>
      <c r="N23" s="14"/>
      <c r="O23" s="22">
        <v>7</v>
      </c>
      <c r="P23" s="8">
        <v>80540.72</v>
      </c>
      <c r="Q23" s="52"/>
      <c r="R23" s="9" t="s">
        <v>48</v>
      </c>
      <c r="S23" s="22">
        <f t="shared" si="34"/>
        <v>7</v>
      </c>
      <c r="T23" s="8">
        <f>+P23</f>
        <v>80540.72</v>
      </c>
      <c r="U23" s="52"/>
      <c r="V23" s="9" t="s">
        <v>48</v>
      </c>
      <c r="W23" s="22">
        <f t="shared" si="36"/>
        <v>7</v>
      </c>
      <c r="X23" s="8">
        <f>+T23</f>
        <v>80540.72</v>
      </c>
      <c r="Y23" s="52"/>
      <c r="Z23" s="9" t="s">
        <v>48</v>
      </c>
      <c r="AA23" s="22">
        <v>5</v>
      </c>
      <c r="AB23" s="8">
        <v>85721</v>
      </c>
      <c r="AC23" s="52"/>
      <c r="AD23" s="9" t="s">
        <v>48</v>
      </c>
      <c r="AE23" s="22">
        <f t="shared" si="38"/>
        <v>5</v>
      </c>
      <c r="AF23" s="8">
        <v>87936</v>
      </c>
      <c r="AG23" s="52"/>
      <c r="AH23" s="9" t="s">
        <v>48</v>
      </c>
      <c r="AI23" s="22">
        <f t="shared" si="39"/>
        <v>5</v>
      </c>
      <c r="AJ23" s="8">
        <v>90342</v>
      </c>
      <c r="AK23" s="52"/>
      <c r="AL23" s="9" t="s">
        <v>48</v>
      </c>
      <c r="AM23" s="22">
        <v>1</v>
      </c>
      <c r="AN23" s="8">
        <f>+AJ23</f>
        <v>90342</v>
      </c>
      <c r="AO23" s="52"/>
      <c r="AP23" s="9" t="s">
        <v>48</v>
      </c>
      <c r="AQ23" s="22">
        <v>6</v>
      </c>
      <c r="AR23" s="8">
        <v>95639.62</v>
      </c>
      <c r="AS23" s="52"/>
      <c r="AT23" s="9"/>
      <c r="AU23" s="22">
        <f t="shared" si="43"/>
        <v>6</v>
      </c>
      <c r="AV23" s="8">
        <f>+AR23</f>
        <v>95639.62</v>
      </c>
      <c r="AW23" s="52"/>
      <c r="AX23" s="9"/>
      <c r="AY23" s="22">
        <f t="shared" ref="AY23:AY27" si="63">+AU23</f>
        <v>6</v>
      </c>
      <c r="AZ23" s="8">
        <f>+AV23</f>
        <v>95639.62</v>
      </c>
      <c r="BA23" s="52"/>
      <c r="BB23" s="9"/>
      <c r="BC23" s="22">
        <f t="shared" ref="BC23:BC27" si="64">+AY23</f>
        <v>6</v>
      </c>
      <c r="BD23" s="8">
        <f>+AZ23</f>
        <v>95639.62</v>
      </c>
      <c r="BE23" s="52"/>
      <c r="BF23" s="9"/>
      <c r="BG23" s="22">
        <f t="shared" ref="BG23:BG27" si="65">+BC23</f>
        <v>6</v>
      </c>
      <c r="BH23" s="8">
        <f>+BD23</f>
        <v>95639.62</v>
      </c>
      <c r="BI23" s="52"/>
      <c r="BJ23" s="9"/>
      <c r="BK23" s="22">
        <f t="shared" ref="BK23:BK27" si="66">+BG23</f>
        <v>6</v>
      </c>
      <c r="BL23" s="8">
        <f>+BH23</f>
        <v>95639.62</v>
      </c>
      <c r="BM23" s="52"/>
      <c r="BN23" s="9"/>
      <c r="BO23" s="22">
        <f t="shared" ref="BO23:BO27" si="67">+BK23</f>
        <v>6</v>
      </c>
      <c r="BP23" s="8">
        <f>+BL23</f>
        <v>95639.62</v>
      </c>
      <c r="BQ23" s="52"/>
      <c r="BR23" s="9"/>
      <c r="BS23" s="22">
        <f t="shared" ref="BS23:BS27" si="68">+BO23</f>
        <v>6</v>
      </c>
      <c r="BT23" s="8">
        <f>+BP23</f>
        <v>95639.62</v>
      </c>
      <c r="BU23" s="52"/>
      <c r="BV23" s="9"/>
      <c r="BW23" s="22"/>
      <c r="BX23" s="8"/>
      <c r="BY23" s="52"/>
      <c r="BZ23" s="9"/>
      <c r="CA23" s="22"/>
      <c r="CB23" s="8"/>
      <c r="CC23" s="8"/>
      <c r="CD23" s="52"/>
      <c r="CE23" s="22"/>
      <c r="CF23" s="8"/>
      <c r="CG23" s="8"/>
      <c r="CH23" s="52"/>
      <c r="CI23" s="22"/>
      <c r="CJ23" s="102"/>
      <c r="CK23" s="102"/>
      <c r="CL23" s="142"/>
      <c r="FF23" s="138">
        <f t="shared" si="24"/>
        <v>46508</v>
      </c>
      <c r="HF23" s="23" cm="1">
        <f t="array" aca="1" ref="HF23" ca="1">IFERROR(IF(HI23="","",TEXT(DAY(HH23)&amp;"/"&amp;MONTH(INDIRECT("HG"&amp;HL23))&amp;"/"&amp;YEAR(INDIRECT("HG"&amp;HL23))+0,"DD/MM/YYYY"))+0,"")</f>
        <v>45974</v>
      </c>
      <c r="HG23" s="1" t="str">
        <f ca="1"/>
        <v>Personal Flow</v>
      </c>
      <c r="HH23" s="1">
        <f ca="1"/>
        <v>13</v>
      </c>
      <c r="HI23" s="139">
        <f ca="1"/>
        <v>98566</v>
      </c>
      <c r="HJ23" s="1" t="str">
        <f ca="1"/>
        <v/>
      </c>
      <c r="HK23" s="1" t="str">
        <f ca="1"/>
        <v/>
      </c>
      <c r="HL23" s="1">
        <f t="shared" ca="1" si="22"/>
        <v>3</v>
      </c>
    </row>
    <row r="24" spans="1:220" ht="15" x14ac:dyDescent="0.25">
      <c r="A24" s="1" t="str">
        <f ca="1"/>
        <v>Cuota Facilidades IVA</v>
      </c>
      <c r="B24" s="42">
        <f ca="1"/>
        <v>16</v>
      </c>
      <c r="C24" s="102">
        <f ca="1"/>
        <v>446304</v>
      </c>
      <c r="D24" s="133" t="str">
        <f ca="1"/>
        <v/>
      </c>
      <c r="E24" s="134" t="str">
        <f ca="1"/>
        <v/>
      </c>
      <c r="F24" s="140">
        <f t="shared" ca="1" si="19"/>
        <v>12</v>
      </c>
      <c r="G24" s="135" t="str">
        <f t="shared" ca="1" si="20"/>
        <v>Ir</v>
      </c>
      <c r="H24" s="7">
        <f t="shared" si="23"/>
        <v>22</v>
      </c>
      <c r="I24" s="1" t="s">
        <v>21</v>
      </c>
      <c r="K24" s="3">
        <v>8</v>
      </c>
      <c r="N24" s="14"/>
      <c r="O24" s="22">
        <v>9</v>
      </c>
      <c r="P24" s="8">
        <f>456105+146562+130439</f>
        <v>733106</v>
      </c>
      <c r="Q24" s="52"/>
      <c r="R24" s="9" t="s">
        <v>48</v>
      </c>
      <c r="S24" s="22">
        <f t="shared" si="34"/>
        <v>9</v>
      </c>
      <c r="T24" s="8">
        <f t="shared" ref="T24:T27" si="69">+P24</f>
        <v>733106</v>
      </c>
      <c r="U24" s="52"/>
      <c r="V24" s="9" t="s">
        <v>48</v>
      </c>
      <c r="W24" s="22">
        <v>10</v>
      </c>
      <c r="X24" s="8">
        <v>775589.93</v>
      </c>
      <c r="Y24" s="52"/>
      <c r="Z24" s="9" t="s">
        <v>48</v>
      </c>
      <c r="AA24" s="22">
        <v>12</v>
      </c>
      <c r="AB24" s="8">
        <f>+X24+230584+205153</f>
        <v>1211326.9300000002</v>
      </c>
      <c r="AC24" s="52"/>
      <c r="AD24" s="9" t="s">
        <v>48</v>
      </c>
      <c r="AE24" s="22">
        <f t="shared" si="38"/>
        <v>12</v>
      </c>
      <c r="AF24" s="8">
        <f>544164+167163+148734</f>
        <v>860061</v>
      </c>
      <c r="AG24" s="52"/>
      <c r="AH24" s="9" t="s">
        <v>48</v>
      </c>
      <c r="AI24" s="22">
        <f t="shared" si="39"/>
        <v>12</v>
      </c>
      <c r="AJ24" s="8">
        <f t="shared" ref="AJ24" si="70">+AF24</f>
        <v>860061</v>
      </c>
      <c r="AK24" s="52"/>
      <c r="AL24" s="9" t="s">
        <v>48</v>
      </c>
      <c r="AM24" s="22">
        <v>10</v>
      </c>
      <c r="AN24" s="8">
        <v>831762</v>
      </c>
      <c r="AO24" s="52"/>
      <c r="AP24" s="9" t="s">
        <v>48</v>
      </c>
      <c r="AQ24" s="22">
        <f t="shared" si="41"/>
        <v>10</v>
      </c>
      <c r="AR24" s="8">
        <f t="shared" ref="AR24:AR27" si="71">+AN24</f>
        <v>831762</v>
      </c>
      <c r="AS24" s="52"/>
      <c r="AT24" s="9"/>
      <c r="AU24" s="22">
        <f t="shared" si="43"/>
        <v>10</v>
      </c>
      <c r="AV24" s="8">
        <f t="shared" ref="AV24:AV27" si="72">+AR24</f>
        <v>831762</v>
      </c>
      <c r="AW24" s="52"/>
      <c r="AX24" s="9"/>
      <c r="AY24" s="22">
        <f t="shared" si="63"/>
        <v>10</v>
      </c>
      <c r="AZ24" s="8">
        <f t="shared" ref="AZ24:AZ27" si="73">+AV24</f>
        <v>831762</v>
      </c>
      <c r="BA24" s="52"/>
      <c r="BB24" s="9"/>
      <c r="BC24" s="22">
        <f t="shared" si="64"/>
        <v>10</v>
      </c>
      <c r="BD24" s="8">
        <f t="shared" ref="BD24:BD27" si="74">+AZ24</f>
        <v>831762</v>
      </c>
      <c r="BE24" s="52"/>
      <c r="BF24" s="9"/>
      <c r="BG24" s="22">
        <f t="shared" si="65"/>
        <v>10</v>
      </c>
      <c r="BH24" s="8">
        <f t="shared" ref="BH24:BH27" si="75">+BD24</f>
        <v>831762</v>
      </c>
      <c r="BI24" s="52"/>
      <c r="BJ24" s="9"/>
      <c r="BK24" s="22">
        <f t="shared" si="66"/>
        <v>10</v>
      </c>
      <c r="BL24" s="8">
        <f t="shared" ref="BL24:BL27" si="76">+BH24</f>
        <v>831762</v>
      </c>
      <c r="BM24" s="52"/>
      <c r="BN24" s="9"/>
      <c r="BO24" s="22">
        <f t="shared" si="67"/>
        <v>10</v>
      </c>
      <c r="BP24" s="8">
        <f t="shared" ref="BP24:BP27" si="77">+BL24</f>
        <v>831762</v>
      </c>
      <c r="BQ24" s="52"/>
      <c r="BR24" s="9"/>
      <c r="BS24" s="22">
        <f t="shared" si="68"/>
        <v>10</v>
      </c>
      <c r="BT24" s="8">
        <f t="shared" ref="BT24:BT27" si="78">+BP24</f>
        <v>831762</v>
      </c>
      <c r="BU24" s="52"/>
      <c r="BV24" s="9"/>
      <c r="BW24" s="22"/>
      <c r="BX24" s="8"/>
      <c r="BY24" s="52"/>
      <c r="BZ24" s="9"/>
      <c r="CA24" s="22"/>
      <c r="CB24" s="8"/>
      <c r="CC24" s="8"/>
      <c r="CD24" s="52"/>
      <c r="CE24" s="22"/>
      <c r="CF24" s="8"/>
      <c r="CG24" s="8"/>
      <c r="CH24" s="52"/>
      <c r="CI24" s="22"/>
      <c r="CJ24" s="102"/>
      <c r="CK24" s="102"/>
      <c r="CL24" s="142"/>
      <c r="FF24" s="138">
        <f t="shared" si="24"/>
        <v>46539</v>
      </c>
      <c r="HF24" s="23" cm="1">
        <f t="array" aca="1" ref="HF24" ca="1">IFERROR(IF(HI24="","",TEXT(DAY(HH24)&amp;"/"&amp;MONTH(INDIRECT("HG"&amp;HL24))&amp;"/"&amp;YEAR(INDIRECT("HG"&amp;HL24))+0,"DD/MM/YYYY"))+0,"")</f>
        <v>45974</v>
      </c>
      <c r="HG24" s="1" t="str">
        <f ca="1"/>
        <v>Victoria Seguros</v>
      </c>
      <c r="HH24" s="1">
        <f ca="1"/>
        <v>13</v>
      </c>
      <c r="HI24" s="139">
        <f ca="1"/>
        <v>90346.85</v>
      </c>
      <c r="HJ24" s="1" t="str">
        <f ca="1"/>
        <v/>
      </c>
      <c r="HK24" s="1" t="str">
        <f ca="1"/>
        <v/>
      </c>
      <c r="HL24" s="1">
        <f t="shared" ca="1" si="22"/>
        <v>3</v>
      </c>
    </row>
    <row r="25" spans="1:220" ht="15" x14ac:dyDescent="0.25">
      <c r="A25" s="1" t="str">
        <f ca="1"/>
        <v>Cuota Facilidades IVA</v>
      </c>
      <c r="B25" s="42">
        <f ca="1"/>
        <v>16</v>
      </c>
      <c r="C25" s="102">
        <f ca="1"/>
        <v>410336</v>
      </c>
      <c r="D25" s="133" t="str">
        <f ca="1"/>
        <v/>
      </c>
      <c r="E25" s="134" t="str">
        <f ca="1"/>
        <v/>
      </c>
      <c r="F25" s="140">
        <f t="shared" ca="1" si="19"/>
        <v>12</v>
      </c>
      <c r="G25" s="135" t="str">
        <f t="shared" ca="1" si="20"/>
        <v>Ir</v>
      </c>
      <c r="H25" s="7">
        <f t="shared" si="23"/>
        <v>23</v>
      </c>
      <c r="I25" s="1" t="s">
        <v>22</v>
      </c>
      <c r="K25" s="3">
        <v>10</v>
      </c>
      <c r="N25" s="14"/>
      <c r="O25" s="22">
        <v>10</v>
      </c>
      <c r="P25" s="8">
        <v>45000</v>
      </c>
      <c r="Q25" s="52"/>
      <c r="R25" s="9" t="s">
        <v>48</v>
      </c>
      <c r="S25" s="22">
        <f t="shared" si="34"/>
        <v>10</v>
      </c>
      <c r="T25" s="8">
        <f t="shared" si="69"/>
        <v>45000</v>
      </c>
      <c r="U25" s="52"/>
      <c r="V25" s="9" t="s">
        <v>48</v>
      </c>
      <c r="W25" s="22">
        <f t="shared" si="36"/>
        <v>10</v>
      </c>
      <c r="X25" s="8">
        <f t="shared" ref="X25:X27" si="79">+T25</f>
        <v>45000</v>
      </c>
      <c r="Y25" s="52"/>
      <c r="Z25" s="9"/>
      <c r="AA25" s="22">
        <v>16</v>
      </c>
      <c r="AB25" s="8">
        <v>92453</v>
      </c>
      <c r="AC25" s="52"/>
      <c r="AD25" s="9" t="s">
        <v>48</v>
      </c>
      <c r="AE25" s="22">
        <f t="shared" si="38"/>
        <v>16</v>
      </c>
      <c r="AF25" s="8">
        <f t="shared" ref="AF25:AF27" si="80">+AB25</f>
        <v>92453</v>
      </c>
      <c r="AG25" s="52"/>
      <c r="AH25" s="9"/>
      <c r="AI25" s="22">
        <v>3</v>
      </c>
      <c r="AJ25" s="8">
        <v>105029</v>
      </c>
      <c r="AK25" s="52"/>
      <c r="AL25" s="9" t="s">
        <v>48</v>
      </c>
      <c r="AM25" s="22">
        <v>1</v>
      </c>
      <c r="AN25" s="8">
        <v>52280</v>
      </c>
      <c r="AO25" s="52"/>
      <c r="AP25" s="9" t="s">
        <v>48</v>
      </c>
      <c r="AQ25" s="22">
        <f t="shared" si="41"/>
        <v>1</v>
      </c>
      <c r="AR25" s="8">
        <f t="shared" si="71"/>
        <v>52280</v>
      </c>
      <c r="AS25" s="52"/>
      <c r="AT25" s="9"/>
      <c r="AU25" s="22">
        <f t="shared" si="43"/>
        <v>1</v>
      </c>
      <c r="AV25" s="8">
        <f t="shared" si="72"/>
        <v>52280</v>
      </c>
      <c r="AW25" s="52"/>
      <c r="AX25" s="9"/>
      <c r="AY25" s="22">
        <f t="shared" si="63"/>
        <v>1</v>
      </c>
      <c r="AZ25" s="8">
        <f t="shared" si="73"/>
        <v>52280</v>
      </c>
      <c r="BA25" s="52"/>
      <c r="BB25" s="9"/>
      <c r="BC25" s="22">
        <f t="shared" si="64"/>
        <v>1</v>
      </c>
      <c r="BD25" s="8">
        <f t="shared" si="74"/>
        <v>52280</v>
      </c>
      <c r="BE25" s="52"/>
      <c r="BF25" s="9"/>
      <c r="BG25" s="22">
        <f t="shared" si="65"/>
        <v>1</v>
      </c>
      <c r="BH25" s="8">
        <f t="shared" si="75"/>
        <v>52280</v>
      </c>
      <c r="BI25" s="52"/>
      <c r="BJ25" s="9"/>
      <c r="BK25" s="22">
        <f t="shared" si="66"/>
        <v>1</v>
      </c>
      <c r="BL25" s="8">
        <f t="shared" si="76"/>
        <v>52280</v>
      </c>
      <c r="BM25" s="52"/>
      <c r="BN25" s="9"/>
      <c r="BO25" s="22">
        <f t="shared" si="67"/>
        <v>1</v>
      </c>
      <c r="BP25" s="8">
        <f t="shared" si="77"/>
        <v>52280</v>
      </c>
      <c r="BQ25" s="52"/>
      <c r="BR25" s="9"/>
      <c r="BS25" s="22">
        <f t="shared" si="68"/>
        <v>1</v>
      </c>
      <c r="BT25" s="8">
        <f t="shared" si="78"/>
        <v>52280</v>
      </c>
      <c r="BU25" s="52"/>
      <c r="BV25" s="9"/>
      <c r="BW25" s="22"/>
      <c r="BX25" s="8"/>
      <c r="BY25" s="52"/>
      <c r="BZ25" s="9"/>
      <c r="CA25" s="22"/>
      <c r="CB25" s="8"/>
      <c r="CC25" s="8"/>
      <c r="CD25" s="52"/>
      <c r="CE25" s="22"/>
      <c r="CF25" s="8"/>
      <c r="CG25" s="8"/>
      <c r="CH25" s="52"/>
      <c r="CI25" s="22"/>
      <c r="CJ25" s="102"/>
      <c r="CK25" s="102"/>
      <c r="CL25" s="142"/>
      <c r="FF25" s="138">
        <f t="shared" si="24"/>
        <v>46569</v>
      </c>
      <c r="HF25" s="23" cm="1">
        <f t="array" aca="1" ref="HF25" ca="1">IFERROR(IF(HI25="","",TEXT(DAY(HH25)&amp;"/"&amp;MONTH(INDIRECT("HG"&amp;HL25))&amp;"/"&amp;YEAR(INDIRECT("HG"&amp;HL25))+0,"DD/MM/YYYY"))+0,"")</f>
        <v>45975</v>
      </c>
      <c r="HG25" s="1" t="str">
        <f ca="1"/>
        <v>Tarjeta Galicia + VISA</v>
      </c>
      <c r="HH25" s="1">
        <f ca="1"/>
        <v>14</v>
      </c>
      <c r="HI25" s="139">
        <f ca="1"/>
        <v>1539729.0099999998</v>
      </c>
      <c r="HJ25" s="1" t="str">
        <f ca="1"/>
        <v/>
      </c>
      <c r="HK25" s="1" t="str">
        <f ca="1"/>
        <v/>
      </c>
      <c r="HL25" s="1">
        <f t="shared" ca="1" si="22"/>
        <v>3</v>
      </c>
    </row>
    <row r="26" spans="1:220" ht="15" x14ac:dyDescent="0.25">
      <c r="A26" s="1" t="str">
        <f ca="1"/>
        <v>Personal Flow</v>
      </c>
      <c r="B26" s="42">
        <f ca="1"/>
        <v>16</v>
      </c>
      <c r="C26" s="102">
        <f ca="1"/>
        <v>89083</v>
      </c>
      <c r="D26" s="133" t="str">
        <f ca="1"/>
        <v/>
      </c>
      <c r="E26" s="134" t="str">
        <f ca="1"/>
        <v/>
      </c>
      <c r="F26" s="140">
        <f t="shared" ca="1" si="19"/>
        <v>12</v>
      </c>
      <c r="G26" s="135" t="str">
        <f t="shared" ca="1" si="20"/>
        <v>Ir</v>
      </c>
      <c r="H26" s="7">
        <f t="shared" si="23"/>
        <v>24</v>
      </c>
      <c r="I26" s="1" t="s">
        <v>23</v>
      </c>
      <c r="K26" s="3">
        <v>10</v>
      </c>
      <c r="N26" s="14"/>
      <c r="O26" s="22">
        <v>10</v>
      </c>
      <c r="P26" s="8">
        <v>45000</v>
      </c>
      <c r="Q26" s="52"/>
      <c r="R26" s="9" t="s">
        <v>48</v>
      </c>
      <c r="S26" s="22">
        <f t="shared" si="34"/>
        <v>10</v>
      </c>
      <c r="T26" s="8">
        <f t="shared" si="69"/>
        <v>45000</v>
      </c>
      <c r="U26" s="52"/>
      <c r="V26" s="9" t="s">
        <v>48</v>
      </c>
      <c r="W26" s="22">
        <f t="shared" si="36"/>
        <v>10</v>
      </c>
      <c r="X26" s="8">
        <f t="shared" si="79"/>
        <v>45000</v>
      </c>
      <c r="Y26" s="52"/>
      <c r="Z26" s="9"/>
      <c r="AA26" s="22">
        <v>16</v>
      </c>
      <c r="AB26" s="8">
        <v>92453</v>
      </c>
      <c r="AC26" s="52"/>
      <c r="AD26" s="9" t="s">
        <v>48</v>
      </c>
      <c r="AE26" s="22">
        <f t="shared" si="38"/>
        <v>16</v>
      </c>
      <c r="AF26" s="8">
        <f t="shared" si="80"/>
        <v>92453</v>
      </c>
      <c r="AG26" s="52"/>
      <c r="AH26" s="9"/>
      <c r="AI26" s="22">
        <v>3</v>
      </c>
      <c r="AJ26" s="8">
        <v>105029</v>
      </c>
      <c r="AK26" s="52"/>
      <c r="AL26" s="9" t="s">
        <v>48</v>
      </c>
      <c r="AM26" s="22">
        <v>1</v>
      </c>
      <c r="AN26" s="8">
        <v>52280</v>
      </c>
      <c r="AO26" s="52"/>
      <c r="AP26" s="9" t="s">
        <v>48</v>
      </c>
      <c r="AQ26" s="22">
        <f t="shared" si="41"/>
        <v>1</v>
      </c>
      <c r="AR26" s="8">
        <f t="shared" si="71"/>
        <v>52280</v>
      </c>
      <c r="AS26" s="52"/>
      <c r="AT26" s="9"/>
      <c r="AU26" s="22">
        <f t="shared" si="43"/>
        <v>1</v>
      </c>
      <c r="AV26" s="8">
        <f t="shared" si="72"/>
        <v>52280</v>
      </c>
      <c r="AW26" s="52"/>
      <c r="AX26" s="9"/>
      <c r="AY26" s="22">
        <f t="shared" si="63"/>
        <v>1</v>
      </c>
      <c r="AZ26" s="8">
        <f t="shared" si="73"/>
        <v>52280</v>
      </c>
      <c r="BA26" s="52"/>
      <c r="BB26" s="9"/>
      <c r="BC26" s="22">
        <f t="shared" si="64"/>
        <v>1</v>
      </c>
      <c r="BD26" s="8">
        <f t="shared" si="74"/>
        <v>52280</v>
      </c>
      <c r="BE26" s="52"/>
      <c r="BF26" s="9"/>
      <c r="BG26" s="22">
        <f t="shared" si="65"/>
        <v>1</v>
      </c>
      <c r="BH26" s="8">
        <f t="shared" si="75"/>
        <v>52280</v>
      </c>
      <c r="BI26" s="52"/>
      <c r="BJ26" s="9"/>
      <c r="BK26" s="22">
        <f t="shared" si="66"/>
        <v>1</v>
      </c>
      <c r="BL26" s="8">
        <f t="shared" si="76"/>
        <v>52280</v>
      </c>
      <c r="BM26" s="52"/>
      <c r="BN26" s="9"/>
      <c r="BO26" s="22">
        <f t="shared" si="67"/>
        <v>1</v>
      </c>
      <c r="BP26" s="8">
        <f t="shared" si="77"/>
        <v>52280</v>
      </c>
      <c r="BQ26" s="52"/>
      <c r="BR26" s="9"/>
      <c r="BS26" s="22">
        <f t="shared" si="68"/>
        <v>1</v>
      </c>
      <c r="BT26" s="8">
        <f t="shared" si="78"/>
        <v>52280</v>
      </c>
      <c r="BU26" s="52"/>
      <c r="BV26" s="9"/>
      <c r="BW26" s="22"/>
      <c r="BX26" s="8"/>
      <c r="BY26" s="52"/>
      <c r="BZ26" s="9"/>
      <c r="CA26" s="22"/>
      <c r="CB26" s="8"/>
      <c r="CC26" s="8"/>
      <c r="CD26" s="52"/>
      <c r="CE26" s="22"/>
      <c r="CF26" s="8"/>
      <c r="CG26" s="8"/>
      <c r="CH26" s="52"/>
      <c r="CI26" s="22"/>
      <c r="CJ26" s="102"/>
      <c r="CK26" s="102"/>
      <c r="CL26" s="142"/>
      <c r="FF26" s="138">
        <f t="shared" si="24"/>
        <v>46600</v>
      </c>
      <c r="HF26" s="23" cm="1">
        <f t="array" aca="1" ref="HF26" ca="1">IFERROR(IF(HI26="","",TEXT(DAY(HH26)&amp;"/"&amp;MONTH(INDIRECT("HG"&amp;HL26))&amp;"/"&amp;YEAR(INDIRECT("HG"&amp;HL26))+0,"DD/MM/YYYY"))+0,"")</f>
        <v>45975</v>
      </c>
      <c r="HG26" s="1" t="str">
        <f ca="1"/>
        <v>Prestamo Galicia - SGR</v>
      </c>
      <c r="HH26" s="1">
        <f ca="1"/>
        <v>14</v>
      </c>
      <c r="HI26" s="139">
        <f ca="1"/>
        <v>1674547</v>
      </c>
      <c r="HJ26" s="1" t="str">
        <f ca="1"/>
        <v/>
      </c>
      <c r="HK26" s="1" t="str">
        <f ca="1"/>
        <v>SI</v>
      </c>
      <c r="HL26" s="1">
        <f t="shared" ca="1" si="22"/>
        <v>3</v>
      </c>
    </row>
    <row r="27" spans="1:220" ht="15" x14ac:dyDescent="0.25">
      <c r="A27" s="1" t="str">
        <f ca="1"/>
        <v>Prestamo Galicia +</v>
      </c>
      <c r="B27" s="42">
        <f ca="1"/>
        <v>19</v>
      </c>
      <c r="C27" s="141">
        <f ca="1"/>
        <v>1311628.8700000001</v>
      </c>
      <c r="D27" s="133" t="str">
        <f ca="1"/>
        <v/>
      </c>
      <c r="E27" s="134" t="str">
        <f ca="1"/>
        <v/>
      </c>
      <c r="F27" s="134">
        <f t="shared" ca="1" si="19"/>
        <v>15</v>
      </c>
      <c r="G27" s="135" t="str">
        <f t="shared" ca="1" si="20"/>
        <v>Ir</v>
      </c>
      <c r="H27" s="7">
        <f t="shared" si="23"/>
        <v>25</v>
      </c>
      <c r="I27" s="1" t="s">
        <v>151</v>
      </c>
      <c r="K27" s="3">
        <v>10</v>
      </c>
      <c r="N27" s="14"/>
      <c r="O27" s="22">
        <v>10</v>
      </c>
      <c r="P27" s="8">
        <v>45000</v>
      </c>
      <c r="Q27" s="52"/>
      <c r="R27" s="9" t="s">
        <v>48</v>
      </c>
      <c r="S27" s="22">
        <f t="shared" si="34"/>
        <v>10</v>
      </c>
      <c r="T27" s="8">
        <f t="shared" si="69"/>
        <v>45000</v>
      </c>
      <c r="U27" s="52"/>
      <c r="V27" s="9" t="s">
        <v>48</v>
      </c>
      <c r="W27" s="22">
        <f t="shared" si="36"/>
        <v>10</v>
      </c>
      <c r="X27" s="8">
        <f t="shared" si="79"/>
        <v>45000</v>
      </c>
      <c r="Y27" s="52"/>
      <c r="Z27" s="9"/>
      <c r="AA27" s="22">
        <v>16</v>
      </c>
      <c r="AB27" s="8">
        <v>75000</v>
      </c>
      <c r="AC27" s="52"/>
      <c r="AD27" s="9" t="s">
        <v>48</v>
      </c>
      <c r="AE27" s="22">
        <f t="shared" si="38"/>
        <v>16</v>
      </c>
      <c r="AF27" s="8">
        <f t="shared" si="80"/>
        <v>75000</v>
      </c>
      <c r="AG27" s="52"/>
      <c r="AH27" s="9"/>
      <c r="AI27" s="22">
        <v>3</v>
      </c>
      <c r="AJ27" s="8">
        <v>85000</v>
      </c>
      <c r="AK27" s="52"/>
      <c r="AL27" s="9" t="s">
        <v>48</v>
      </c>
      <c r="AM27" s="22">
        <v>1</v>
      </c>
      <c r="AN27" s="8">
        <v>42246</v>
      </c>
      <c r="AO27" s="52"/>
      <c r="AP27" s="9" t="s">
        <v>48</v>
      </c>
      <c r="AQ27" s="22">
        <f t="shared" si="41"/>
        <v>1</v>
      </c>
      <c r="AR27" s="8">
        <f t="shared" si="71"/>
        <v>42246</v>
      </c>
      <c r="AS27" s="52"/>
      <c r="AT27" s="9"/>
      <c r="AU27" s="22">
        <f t="shared" si="43"/>
        <v>1</v>
      </c>
      <c r="AV27" s="8">
        <f t="shared" si="72"/>
        <v>42246</v>
      </c>
      <c r="AW27" s="52"/>
      <c r="AX27" s="9"/>
      <c r="AY27" s="22">
        <f t="shared" si="63"/>
        <v>1</v>
      </c>
      <c r="AZ27" s="8">
        <f t="shared" si="73"/>
        <v>42246</v>
      </c>
      <c r="BA27" s="52"/>
      <c r="BB27" s="9"/>
      <c r="BC27" s="22">
        <f t="shared" si="64"/>
        <v>1</v>
      </c>
      <c r="BD27" s="8">
        <f t="shared" si="74"/>
        <v>42246</v>
      </c>
      <c r="BE27" s="52"/>
      <c r="BF27" s="9"/>
      <c r="BG27" s="22">
        <f t="shared" si="65"/>
        <v>1</v>
      </c>
      <c r="BH27" s="8">
        <f t="shared" si="75"/>
        <v>42246</v>
      </c>
      <c r="BI27" s="52"/>
      <c r="BJ27" s="9"/>
      <c r="BK27" s="22">
        <f t="shared" si="66"/>
        <v>1</v>
      </c>
      <c r="BL27" s="8">
        <f t="shared" si="76"/>
        <v>42246</v>
      </c>
      <c r="BM27" s="52"/>
      <c r="BN27" s="9"/>
      <c r="BO27" s="22">
        <f t="shared" si="67"/>
        <v>1</v>
      </c>
      <c r="BP27" s="8">
        <f t="shared" si="77"/>
        <v>42246</v>
      </c>
      <c r="BQ27" s="52"/>
      <c r="BR27" s="9"/>
      <c r="BS27" s="22">
        <f t="shared" si="68"/>
        <v>1</v>
      </c>
      <c r="BT27" s="8">
        <f t="shared" si="78"/>
        <v>42246</v>
      </c>
      <c r="BU27" s="52"/>
      <c r="BV27" s="9"/>
      <c r="BW27" s="22"/>
      <c r="BX27" s="8"/>
      <c r="BY27" s="52"/>
      <c r="BZ27" s="9"/>
      <c r="CA27" s="22"/>
      <c r="CB27" s="8"/>
      <c r="CC27" s="8"/>
      <c r="CD27" s="52"/>
      <c r="CE27" s="22"/>
      <c r="CF27" s="8"/>
      <c r="CG27" s="8"/>
      <c r="CH27" s="52"/>
      <c r="CI27" s="22"/>
      <c r="CJ27" s="102"/>
      <c r="CK27" s="102"/>
      <c r="CL27" s="142"/>
      <c r="FF27" s="138">
        <f t="shared" si="24"/>
        <v>46631</v>
      </c>
      <c r="HF27" s="23" cm="1">
        <f t="array" aca="1" ref="HF27" ca="1">IFERROR(IF(HI27="","",TEXT(DAY(HH27)&amp;"/"&amp;MONTH(INDIRECT("HG"&amp;HL27))&amp;"/"&amp;YEAR(INDIRECT("HG"&amp;HL27))+0,"DD/MM/YYYY"))+0,"")</f>
        <v>45975</v>
      </c>
      <c r="HG27" s="1" t="str">
        <f ca="1"/>
        <v>Prestamo Galicia +</v>
      </c>
      <c r="HH27" s="1">
        <f ca="1"/>
        <v>14</v>
      </c>
      <c r="HI27" s="139">
        <f ca="1"/>
        <v>1321310</v>
      </c>
      <c r="HJ27" s="1" t="str">
        <f ca="1"/>
        <v/>
      </c>
      <c r="HK27" s="1" t="str">
        <f ca="1"/>
        <v>SI</v>
      </c>
      <c r="HL27" s="1">
        <f t="shared" ca="1" si="22"/>
        <v>3</v>
      </c>
    </row>
    <row r="28" spans="1:220" ht="15" x14ac:dyDescent="0.25">
      <c r="A28" s="1" t="str">
        <f ca="1"/>
        <v>BS Gestion</v>
      </c>
      <c r="B28" s="42">
        <f ca="1"/>
        <v>20</v>
      </c>
      <c r="C28" s="102">
        <f ca="1"/>
        <v>382511.25</v>
      </c>
      <c r="D28" s="133" t="str">
        <f ca="1"/>
        <v/>
      </c>
      <c r="E28" s="24" t="str">
        <f ca="1"/>
        <v/>
      </c>
      <c r="F28" s="134">
        <f t="shared" ca="1" si="19"/>
        <v>16</v>
      </c>
      <c r="G28" s="135" t="str">
        <f t="shared" ca="1" si="20"/>
        <v>Ir</v>
      </c>
      <c r="H28" s="7">
        <f t="shared" si="23"/>
        <v>26</v>
      </c>
      <c r="I28" s="5" t="s">
        <v>40</v>
      </c>
      <c r="K28" s="3">
        <v>17</v>
      </c>
      <c r="L28" s="1" t="s">
        <v>6</v>
      </c>
      <c r="M28" s="1" t="s">
        <v>12</v>
      </c>
      <c r="N28" s="14"/>
      <c r="O28" s="22"/>
      <c r="P28" s="102"/>
      <c r="Q28" s="136"/>
      <c r="R28" s="137"/>
      <c r="S28" s="22">
        <v>17</v>
      </c>
      <c r="T28" s="102">
        <v>1528316.97</v>
      </c>
      <c r="U28" s="136"/>
      <c r="V28" s="137" t="s">
        <v>48</v>
      </c>
      <c r="W28" s="22">
        <v>17</v>
      </c>
      <c r="X28" s="102">
        <f>+T28</f>
        <v>1528316.97</v>
      </c>
      <c r="Y28" s="136"/>
      <c r="Z28" s="137" t="s">
        <v>48</v>
      </c>
      <c r="AA28" s="22">
        <v>16</v>
      </c>
      <c r="AB28" s="102">
        <v>1498822.21</v>
      </c>
      <c r="AC28" s="136"/>
      <c r="AD28" s="137" t="s">
        <v>48</v>
      </c>
      <c r="AE28" s="22"/>
      <c r="AF28" s="102"/>
      <c r="AG28" s="136"/>
      <c r="AH28" s="137"/>
      <c r="AI28" s="22"/>
      <c r="AJ28" s="102"/>
      <c r="AK28" s="136"/>
      <c r="AL28" s="137"/>
      <c r="AM28" s="22"/>
      <c r="AN28" s="102"/>
      <c r="AO28" s="136"/>
      <c r="AP28" s="137"/>
      <c r="AQ28" s="22"/>
      <c r="AR28" s="102"/>
      <c r="AS28" s="136"/>
      <c r="AT28" s="137"/>
      <c r="AU28" s="22"/>
      <c r="AV28" s="102"/>
      <c r="AW28" s="136"/>
      <c r="AX28" s="137"/>
      <c r="AY28" s="22"/>
      <c r="AZ28" s="102"/>
      <c r="BA28" s="136"/>
      <c r="BB28" s="137"/>
      <c r="BC28" s="22"/>
      <c r="BD28" s="102"/>
      <c r="BE28" s="136"/>
      <c r="BF28" s="137"/>
      <c r="BG28" s="22"/>
      <c r="BH28" s="102"/>
      <c r="BI28" s="136"/>
      <c r="BJ28" s="137"/>
      <c r="BK28" s="22"/>
      <c r="BL28" s="102"/>
      <c r="BM28" s="136"/>
      <c r="BN28" s="137"/>
      <c r="BO28" s="22"/>
      <c r="BP28" s="102"/>
      <c r="BQ28" s="136"/>
      <c r="BR28" s="137"/>
      <c r="BS28" s="22"/>
      <c r="BT28" s="102"/>
      <c r="BU28" s="136"/>
      <c r="BV28" s="137"/>
      <c r="BW28" s="22"/>
      <c r="BX28" s="102"/>
      <c r="BY28" s="136"/>
      <c r="BZ28" s="137"/>
      <c r="CA28" s="22"/>
      <c r="CB28" s="102"/>
      <c r="CC28" s="102"/>
      <c r="CD28" s="136"/>
      <c r="CE28" s="22"/>
      <c r="CF28" s="102"/>
      <c r="CG28" s="102"/>
      <c r="CH28" s="136"/>
      <c r="CI28" s="22"/>
      <c r="CJ28" s="102"/>
      <c r="CK28" s="102"/>
      <c r="CL28" s="136"/>
      <c r="FF28" s="138">
        <f t="shared" si="24"/>
        <v>46661</v>
      </c>
      <c r="HF28" s="23" cm="1">
        <f t="array" aca="1" ref="HF28" ca="1">IFERROR(IF(HI28="","",TEXT(DAY(HH28)&amp;"/"&amp;MONTH(INDIRECT("HG"&amp;HL28))&amp;"/"&amp;YEAR(INDIRECT("HG"&amp;HL28))+0,"DD/MM/YYYY"))+0,"")</f>
        <v>45977</v>
      </c>
      <c r="HG28" s="1" t="str">
        <f ca="1"/>
        <v>Cuota Facilidades IVA</v>
      </c>
      <c r="HH28" s="1">
        <f ca="1"/>
        <v>16</v>
      </c>
      <c r="HI28" s="139">
        <f ca="1"/>
        <v>446304</v>
      </c>
      <c r="HJ28" s="1" t="str">
        <f ca="1"/>
        <v/>
      </c>
      <c r="HK28" s="1" t="str">
        <f ca="1"/>
        <v>SI</v>
      </c>
      <c r="HL28" s="1">
        <f t="shared" ca="1" si="22"/>
        <v>3</v>
      </c>
    </row>
    <row r="29" spans="1:220" ht="15" x14ac:dyDescent="0.25">
      <c r="A29" s="1" t="str">
        <f ca="1"/>
        <v>Seguros Rivadavía</v>
      </c>
      <c r="B29" s="42">
        <f ca="1"/>
        <v>22</v>
      </c>
      <c r="C29" s="102">
        <f ca="1"/>
        <v>93593</v>
      </c>
      <c r="D29" s="133" t="str">
        <f ca="1"/>
        <v/>
      </c>
      <c r="E29" s="134" t="str">
        <f ca="1"/>
        <v/>
      </c>
      <c r="F29" s="134">
        <f t="shared" ca="1" si="19"/>
        <v>18</v>
      </c>
      <c r="G29" s="135" t="str">
        <f t="shared" ca="1" si="20"/>
        <v>Ir</v>
      </c>
      <c r="H29" s="123">
        <f t="shared" si="23"/>
        <v>27</v>
      </c>
      <c r="I29" s="124" t="s">
        <v>42</v>
      </c>
      <c r="J29" s="122">
        <v>27</v>
      </c>
      <c r="K29" s="122">
        <v>27</v>
      </c>
      <c r="L29" s="120" t="s">
        <v>6</v>
      </c>
      <c r="M29" s="120" t="s">
        <v>12</v>
      </c>
      <c r="N29" s="125"/>
      <c r="O29" s="126"/>
      <c r="P29" s="121"/>
      <c r="Q29" s="131"/>
      <c r="R29" s="130"/>
      <c r="S29" s="126">
        <v>27</v>
      </c>
      <c r="T29" s="121">
        <v>315894.99</v>
      </c>
      <c r="U29" s="131"/>
      <c r="V29" s="130" t="s">
        <v>48</v>
      </c>
      <c r="W29" s="126">
        <v>27</v>
      </c>
      <c r="X29" s="121">
        <f>+T29</f>
        <v>315894.99</v>
      </c>
      <c r="Y29" s="131"/>
      <c r="Z29" s="130" t="s">
        <v>48</v>
      </c>
      <c r="AA29" s="126">
        <v>27</v>
      </c>
      <c r="AB29" s="121">
        <v>303014</v>
      </c>
      <c r="AC29" s="131"/>
      <c r="AD29" s="130" t="s">
        <v>48</v>
      </c>
      <c r="AE29" s="126">
        <v>27</v>
      </c>
      <c r="AF29" s="121">
        <v>302729</v>
      </c>
      <c r="AG29" s="131"/>
      <c r="AH29" s="130" t="s">
        <v>48</v>
      </c>
      <c r="AI29" s="126">
        <v>27</v>
      </c>
      <c r="AJ29" s="121">
        <f>+AF29</f>
        <v>302729</v>
      </c>
      <c r="AK29" s="131"/>
      <c r="AL29" s="130" t="s">
        <v>48</v>
      </c>
      <c r="AM29" s="126">
        <v>27</v>
      </c>
      <c r="AN29" s="121">
        <v>299449</v>
      </c>
      <c r="AO29" s="131"/>
      <c r="AP29" s="130" t="s">
        <v>48</v>
      </c>
      <c r="AQ29" s="126">
        <v>27</v>
      </c>
      <c r="AR29" s="121">
        <f>+AN29</f>
        <v>299449</v>
      </c>
      <c r="AS29" s="131"/>
      <c r="AT29" s="130"/>
      <c r="AU29" s="126">
        <v>27</v>
      </c>
      <c r="AV29" s="121">
        <f>+AR29</f>
        <v>299449</v>
      </c>
      <c r="AW29" s="131"/>
      <c r="AX29" s="130"/>
      <c r="AY29" s="126">
        <v>27</v>
      </c>
      <c r="AZ29" s="121">
        <f>+AV29</f>
        <v>299449</v>
      </c>
      <c r="BA29" s="131"/>
      <c r="BB29" s="130"/>
      <c r="BC29" s="126">
        <v>27</v>
      </c>
      <c r="BD29" s="121">
        <f>+AZ29</f>
        <v>299449</v>
      </c>
      <c r="BE29" s="131"/>
      <c r="BF29" s="130"/>
      <c r="BG29" s="126">
        <v>27</v>
      </c>
      <c r="BH29" s="121">
        <f>+BD29</f>
        <v>299449</v>
      </c>
      <c r="BI29" s="131"/>
      <c r="BJ29" s="130"/>
      <c r="BK29" s="126">
        <v>27</v>
      </c>
      <c r="BL29" s="121">
        <f>+BH29</f>
        <v>299449</v>
      </c>
      <c r="BM29" s="136"/>
      <c r="BN29" s="137"/>
      <c r="BO29" s="22"/>
      <c r="BP29" s="102"/>
      <c r="BQ29" s="136"/>
      <c r="BR29" s="137"/>
      <c r="BS29" s="22"/>
      <c r="BT29" s="102"/>
      <c r="BU29" s="136"/>
      <c r="BV29" s="137"/>
      <c r="BW29" s="22"/>
      <c r="BX29" s="102"/>
      <c r="BY29" s="136"/>
      <c r="BZ29" s="137"/>
      <c r="CA29" s="22"/>
      <c r="CB29" s="102"/>
      <c r="CC29" s="102"/>
      <c r="CD29" s="136"/>
      <c r="CE29" s="22"/>
      <c r="CF29" s="102"/>
      <c r="CG29" s="102"/>
      <c r="CH29" s="136"/>
      <c r="CI29" s="22"/>
      <c r="CJ29" s="102"/>
      <c r="CK29" s="102"/>
      <c r="CL29" s="136"/>
      <c r="FF29" s="138">
        <f t="shared" si="24"/>
        <v>46692</v>
      </c>
      <c r="HF29" s="23" cm="1">
        <f t="array" aca="1" ref="HF29" ca="1">IFERROR(IF(HI29="","",TEXT(DAY(HH29)&amp;"/"&amp;MONTH(INDIRECT("HG"&amp;HL29))&amp;"/"&amp;YEAR(INDIRECT("HG"&amp;HL29))+0,"DD/MM/YYYY"))+0,"")</f>
        <v>45977</v>
      </c>
      <c r="HG29" s="1" t="str">
        <f ca="1"/>
        <v>Cuota Facilidades IVA</v>
      </c>
      <c r="HH29" s="1">
        <f ca="1"/>
        <v>16</v>
      </c>
      <c r="HI29" s="139">
        <f ca="1"/>
        <v>410336</v>
      </c>
      <c r="HJ29" s="1" t="str">
        <f ca="1"/>
        <v/>
      </c>
      <c r="HK29" s="1" t="str">
        <f ca="1"/>
        <v>SI</v>
      </c>
      <c r="HL29" s="1">
        <f t="shared" ca="1" si="22"/>
        <v>3</v>
      </c>
    </row>
    <row r="30" spans="1:220" ht="15" x14ac:dyDescent="0.25">
      <c r="A30" s="1" t="str">
        <f ca="1"/>
        <v>Prestamo Santander Rio</v>
      </c>
      <c r="B30" s="42">
        <f ca="1"/>
        <v>24</v>
      </c>
      <c r="C30" s="102">
        <f ca="1"/>
        <v>872520</v>
      </c>
      <c r="D30" s="133" t="str">
        <f ca="1"/>
        <v/>
      </c>
      <c r="E30" s="134" t="str">
        <f ca="1"/>
        <v/>
      </c>
      <c r="F30" s="134">
        <f t="shared" ca="1" si="19"/>
        <v>20</v>
      </c>
      <c r="G30" s="135" t="str">
        <f t="shared" ca="1" si="20"/>
        <v>Ir</v>
      </c>
      <c r="H30" s="7">
        <f t="shared" si="23"/>
        <v>28</v>
      </c>
      <c r="I30" s="1" t="s">
        <v>60</v>
      </c>
      <c r="J30" s="3">
        <v>2</v>
      </c>
      <c r="K30" s="3">
        <v>2</v>
      </c>
      <c r="L30" s="1" t="s">
        <v>7</v>
      </c>
      <c r="M30" s="1" t="s">
        <v>12</v>
      </c>
      <c r="N30" s="14"/>
      <c r="O30" s="22">
        <v>2</v>
      </c>
      <c r="P30" s="8">
        <v>112300.02</v>
      </c>
      <c r="Q30" s="50"/>
      <c r="R30" s="9" t="s">
        <v>48</v>
      </c>
      <c r="S30" s="22">
        <f>+O30</f>
        <v>2</v>
      </c>
      <c r="T30" s="8">
        <f>+P30</f>
        <v>112300.02</v>
      </c>
      <c r="U30" s="50"/>
      <c r="V30" s="9"/>
      <c r="W30" s="22">
        <f>+S30</f>
        <v>2</v>
      </c>
      <c r="X30" s="8">
        <f>+T30</f>
        <v>112300.02</v>
      </c>
      <c r="Y30" s="50"/>
      <c r="Z30" s="9" t="s">
        <v>48</v>
      </c>
      <c r="AA30" s="22">
        <f>+W30</f>
        <v>2</v>
      </c>
      <c r="AB30" s="8">
        <v>120145</v>
      </c>
      <c r="AC30" s="50"/>
      <c r="AD30" s="9" t="s">
        <v>48</v>
      </c>
      <c r="AE30" s="22">
        <f>+AA30</f>
        <v>2</v>
      </c>
      <c r="AF30" s="8">
        <f>+AB30</f>
        <v>120145</v>
      </c>
      <c r="AG30" s="50"/>
      <c r="AH30" s="9"/>
      <c r="AI30" s="22">
        <f>+AE30</f>
        <v>2</v>
      </c>
      <c r="AJ30" s="8">
        <v>130111</v>
      </c>
      <c r="AK30" s="50"/>
      <c r="AL30" s="9" t="s">
        <v>48</v>
      </c>
      <c r="AM30" s="22">
        <f>+AI30</f>
        <v>2</v>
      </c>
      <c r="AN30" s="8">
        <v>141512.71</v>
      </c>
      <c r="AO30" s="50"/>
      <c r="AP30" s="9" t="s">
        <v>48</v>
      </c>
      <c r="AQ30" s="22">
        <f>+AM30</f>
        <v>2</v>
      </c>
      <c r="AR30" s="8">
        <f>+AN30</f>
        <v>141512.71</v>
      </c>
      <c r="AS30" s="50"/>
      <c r="AT30" s="9"/>
      <c r="AU30" s="22">
        <f>+AQ30</f>
        <v>2</v>
      </c>
      <c r="AV30" s="8">
        <f>+AR30</f>
        <v>141512.71</v>
      </c>
      <c r="AW30" s="50"/>
      <c r="AX30" s="9"/>
      <c r="AY30" s="22">
        <f>+AU30</f>
        <v>2</v>
      </c>
      <c r="AZ30" s="8">
        <f>+AV30</f>
        <v>141512.71</v>
      </c>
      <c r="BA30" s="50"/>
      <c r="BB30" s="9"/>
      <c r="BC30" s="22">
        <f>+AY30</f>
        <v>2</v>
      </c>
      <c r="BD30" s="8">
        <f>+AZ30</f>
        <v>141512.71</v>
      </c>
      <c r="BE30" s="50"/>
      <c r="BF30" s="9"/>
      <c r="BG30" s="22">
        <f>+BC30</f>
        <v>2</v>
      </c>
      <c r="BH30" s="8">
        <f>+BD30</f>
        <v>141512.71</v>
      </c>
      <c r="BI30" s="50"/>
      <c r="BJ30" s="9"/>
      <c r="BK30" s="22">
        <f>+BG30</f>
        <v>2</v>
      </c>
      <c r="BL30" s="8">
        <f>+BH30</f>
        <v>141512.71</v>
      </c>
      <c r="BM30" s="50"/>
      <c r="BN30" s="9"/>
      <c r="BO30" s="22">
        <f>+BK30</f>
        <v>2</v>
      </c>
      <c r="BP30" s="8">
        <f>+BL30</f>
        <v>141512.71</v>
      </c>
      <c r="BQ30" s="50"/>
      <c r="BR30" s="9"/>
      <c r="BS30" s="22">
        <f>+BO30</f>
        <v>2</v>
      </c>
      <c r="BT30" s="8">
        <f>+BP30</f>
        <v>141512.71</v>
      </c>
      <c r="BU30" s="50"/>
      <c r="BV30" s="9"/>
      <c r="BW30" s="22"/>
      <c r="BX30" s="8"/>
      <c r="BY30" s="50"/>
      <c r="BZ30" s="9"/>
      <c r="CA30" s="22"/>
      <c r="CB30" s="8"/>
      <c r="CC30" s="8"/>
      <c r="CD30" s="50"/>
      <c r="CE30" s="22"/>
      <c r="CF30" s="8"/>
      <c r="CG30" s="8"/>
      <c r="CH30" s="50"/>
      <c r="CI30" s="22"/>
      <c r="CJ30" s="8"/>
      <c r="CK30" s="8"/>
      <c r="CL30" s="50"/>
      <c r="FF30" s="44">
        <f t="shared" si="24"/>
        <v>46722</v>
      </c>
      <c r="HF30" s="23" cm="1">
        <f t="array" aca="1" ref="HF30" ca="1">IFERROR(IF(HI30="","",TEXT(DAY(HH30)&amp;"/"&amp;MONTH(INDIRECT("HG"&amp;HL30))&amp;"/"&amp;YEAR(INDIRECT("HG"&amp;HL30))+0,"DD/MM/YYYY"))+0,"")</f>
        <v>45977</v>
      </c>
      <c r="HG30" s="1" t="str">
        <f ca="1"/>
        <v>Echeq - Alcides</v>
      </c>
      <c r="HH30" s="1">
        <f ca="1"/>
        <v>16</v>
      </c>
      <c r="HI30" s="4">
        <f ca="1"/>
        <v>2219182.6</v>
      </c>
      <c r="HJ30" s="1" t="str">
        <f ca="1"/>
        <v/>
      </c>
      <c r="HK30" s="1" t="str">
        <f ca="1"/>
        <v>SI</v>
      </c>
      <c r="HL30" s="1">
        <f t="shared" ca="1" si="22"/>
        <v>3</v>
      </c>
    </row>
    <row r="31" spans="1:220" ht="15" x14ac:dyDescent="0.25">
      <c r="A31" s="1" t="str">
        <f ca="1"/>
        <v>Prestamo Galicia +</v>
      </c>
      <c r="B31" s="42">
        <f ca="1"/>
        <v>27</v>
      </c>
      <c r="C31" s="102">
        <f ca="1"/>
        <v>299449</v>
      </c>
      <c r="D31" s="133" t="str">
        <f ca="1"/>
        <v/>
      </c>
      <c r="E31" s="134" t="str">
        <f ca="1"/>
        <v/>
      </c>
      <c r="F31" s="134">
        <f t="shared" ca="1" si="19"/>
        <v>23</v>
      </c>
      <c r="G31" s="135" t="str">
        <f t="shared" ca="1" si="20"/>
        <v>Ir</v>
      </c>
      <c r="H31" s="7">
        <f t="shared" si="23"/>
        <v>29</v>
      </c>
      <c r="I31" s="1" t="s">
        <v>62</v>
      </c>
      <c r="J31" s="3">
        <v>22</v>
      </c>
      <c r="K31" s="3">
        <v>22</v>
      </c>
      <c r="L31" s="1" t="s">
        <v>7</v>
      </c>
      <c r="M31" s="1" t="s">
        <v>12</v>
      </c>
      <c r="N31" s="14"/>
      <c r="O31" s="22">
        <v>22</v>
      </c>
      <c r="P31" s="8">
        <v>81980</v>
      </c>
      <c r="Q31" s="50"/>
      <c r="R31" s="9" t="s">
        <v>48</v>
      </c>
      <c r="S31" s="22">
        <f>+O31</f>
        <v>22</v>
      </c>
      <c r="T31" s="8">
        <f>+P31</f>
        <v>81980</v>
      </c>
      <c r="U31" s="50"/>
      <c r="V31" s="9"/>
      <c r="W31" s="22">
        <f>+S31</f>
        <v>22</v>
      </c>
      <c r="X31" s="8">
        <f>450000-105000</f>
        <v>345000</v>
      </c>
      <c r="Y31" s="50"/>
      <c r="Z31" s="9" t="s">
        <v>48</v>
      </c>
      <c r="AA31" s="22">
        <f>+W31</f>
        <v>22</v>
      </c>
      <c r="AB31" s="8">
        <v>93593</v>
      </c>
      <c r="AC31" s="50"/>
      <c r="AD31" s="9" t="s">
        <v>48</v>
      </c>
      <c r="AE31" s="22">
        <f>+AA31</f>
        <v>22</v>
      </c>
      <c r="AF31" s="8">
        <f>+AB31</f>
        <v>93593</v>
      </c>
      <c r="AG31" s="50"/>
      <c r="AH31" s="9" t="s">
        <v>48</v>
      </c>
      <c r="AI31" s="22">
        <f>+AE31</f>
        <v>22</v>
      </c>
      <c r="AJ31" s="8">
        <f>+AF31</f>
        <v>93593</v>
      </c>
      <c r="AK31" s="50"/>
      <c r="AL31" s="9"/>
      <c r="AM31" s="22">
        <f>+AI31</f>
        <v>22</v>
      </c>
      <c r="AN31" s="8">
        <f>+AJ31</f>
        <v>93593</v>
      </c>
      <c r="AO31" s="50"/>
      <c r="AP31" s="9" t="s">
        <v>48</v>
      </c>
      <c r="AQ31" s="22">
        <f>+AM31</f>
        <v>22</v>
      </c>
      <c r="AR31" s="8">
        <f>+AN31</f>
        <v>93593</v>
      </c>
      <c r="AS31" s="50"/>
      <c r="AT31" s="9"/>
      <c r="AU31" s="22">
        <f>+AQ31</f>
        <v>22</v>
      </c>
      <c r="AV31" s="8">
        <f>+AR31</f>
        <v>93593</v>
      </c>
      <c r="AW31" s="50"/>
      <c r="AX31" s="9"/>
      <c r="AY31" s="22">
        <f>+AU31</f>
        <v>22</v>
      </c>
      <c r="AZ31" s="8">
        <f>+AV31</f>
        <v>93593</v>
      </c>
      <c r="BA31" s="50"/>
      <c r="BB31" s="9"/>
      <c r="BC31" s="22">
        <f>+AY31</f>
        <v>22</v>
      </c>
      <c r="BD31" s="8">
        <f>+AZ31</f>
        <v>93593</v>
      </c>
      <c r="BE31" s="50"/>
      <c r="BF31" s="9"/>
      <c r="BG31" s="22">
        <f>+BC31</f>
        <v>22</v>
      </c>
      <c r="BH31" s="8">
        <f>+BD31</f>
        <v>93593</v>
      </c>
      <c r="BI31" s="50"/>
      <c r="BJ31" s="9"/>
      <c r="BK31" s="22">
        <f>+BG31</f>
        <v>22</v>
      </c>
      <c r="BL31" s="8">
        <f>+BH31</f>
        <v>93593</v>
      </c>
      <c r="BM31" s="50"/>
      <c r="BN31" s="9"/>
      <c r="BO31" s="22">
        <f>+BK31</f>
        <v>22</v>
      </c>
      <c r="BP31" s="8">
        <f>+BL31</f>
        <v>93593</v>
      </c>
      <c r="BQ31" s="50"/>
      <c r="BR31" s="9"/>
      <c r="BS31" s="22">
        <f>+BO31</f>
        <v>22</v>
      </c>
      <c r="BT31" s="8">
        <f>+BP31</f>
        <v>93593</v>
      </c>
      <c r="BU31" s="50"/>
      <c r="BV31" s="9"/>
      <c r="BW31" s="22"/>
      <c r="BX31" s="8"/>
      <c r="BY31" s="50"/>
      <c r="BZ31" s="9"/>
      <c r="CA31" s="22"/>
      <c r="CB31" s="8"/>
      <c r="CC31" s="8"/>
      <c r="CD31" s="50"/>
      <c r="CE31" s="22"/>
      <c r="CF31" s="8"/>
      <c r="CG31" s="8"/>
      <c r="CH31" s="50"/>
      <c r="CI31" s="22"/>
      <c r="CJ31" s="8"/>
      <c r="CK31" s="8"/>
      <c r="CL31" s="50"/>
      <c r="FF31" s="44">
        <f t="shared" si="24"/>
        <v>46753</v>
      </c>
      <c r="HF31" s="23" cm="1">
        <f t="array" aca="1" ref="HF31" ca="1">IFERROR(IF(HI31="","",TEXT(DAY(HH31)&amp;"/"&amp;MONTH(INDIRECT("HG"&amp;HL31))&amp;"/"&amp;YEAR(INDIRECT("HG"&amp;HL31))+0,"DD/MM/YYYY"))+0,"")</f>
        <v>45978</v>
      </c>
      <c r="HG31" s="1" t="str">
        <f ca="1"/>
        <v>Prestamo Galicia</v>
      </c>
      <c r="HH31" s="1">
        <f ca="1"/>
        <v>17</v>
      </c>
      <c r="HI31" s="4">
        <f ca="1"/>
        <v>1528316.97</v>
      </c>
      <c r="HJ31" s="1" t="str">
        <f ca="1"/>
        <v/>
      </c>
      <c r="HK31" s="1" t="str">
        <f ca="1"/>
        <v>SI</v>
      </c>
      <c r="HL31" s="1">
        <f t="shared" ca="1" si="22"/>
        <v>3</v>
      </c>
    </row>
    <row r="32" spans="1:220" ht="15" x14ac:dyDescent="0.25">
      <c r="B32" s="42"/>
      <c r="C32" s="102"/>
      <c r="D32" s="133"/>
      <c r="E32" s="134"/>
      <c r="F32" s="134" t="str">
        <f t="shared" ca="1" si="19"/>
        <v/>
      </c>
      <c r="G32" s="135" t="str">
        <f t="shared" si="20"/>
        <v/>
      </c>
      <c r="H32" s="7">
        <f t="shared" si="23"/>
        <v>30</v>
      </c>
      <c r="I32" s="1" t="s">
        <v>65</v>
      </c>
      <c r="J32" s="3">
        <v>1</v>
      </c>
      <c r="K32" s="3">
        <v>1</v>
      </c>
      <c r="L32" s="1" t="s">
        <v>7</v>
      </c>
      <c r="M32" s="1" t="s">
        <v>12</v>
      </c>
      <c r="N32" s="14"/>
      <c r="O32" s="22">
        <v>2</v>
      </c>
      <c r="P32" s="8">
        <v>110000</v>
      </c>
      <c r="Q32" s="50"/>
      <c r="R32" s="9" t="s">
        <v>48</v>
      </c>
      <c r="S32" s="22"/>
      <c r="T32" s="8"/>
      <c r="U32" s="50"/>
      <c r="V32" s="9"/>
      <c r="W32" s="22"/>
      <c r="X32" s="8"/>
      <c r="Y32" s="50"/>
      <c r="Z32" s="9"/>
      <c r="AA32" s="22"/>
      <c r="AB32" s="8"/>
      <c r="AC32" s="50"/>
      <c r="AD32" s="9"/>
      <c r="AE32" s="22"/>
      <c r="AF32" s="8"/>
      <c r="AG32" s="50"/>
      <c r="AH32" s="9"/>
      <c r="AI32" s="22"/>
      <c r="AJ32" s="8"/>
      <c r="AK32" s="50"/>
      <c r="AL32" s="9"/>
      <c r="AM32" s="22"/>
      <c r="AN32" s="8"/>
      <c r="AO32" s="50"/>
      <c r="AP32" s="9"/>
      <c r="AQ32" s="22"/>
      <c r="AR32" s="8"/>
      <c r="AS32" s="50"/>
      <c r="AT32" s="9"/>
      <c r="AU32" s="22"/>
      <c r="AV32" s="8"/>
      <c r="AW32" s="50"/>
      <c r="AX32" s="9"/>
      <c r="AY32" s="22"/>
      <c r="AZ32" s="8"/>
      <c r="BA32" s="50"/>
      <c r="BB32" s="9"/>
      <c r="BC32" s="22"/>
      <c r="BD32" s="8"/>
      <c r="BE32" s="50"/>
      <c r="BF32" s="9"/>
      <c r="BG32" s="22"/>
      <c r="BH32" s="8"/>
      <c r="BI32" s="50"/>
      <c r="BJ32" s="9"/>
      <c r="BK32" s="22"/>
      <c r="BL32" s="8"/>
      <c r="BM32" s="50"/>
      <c r="BN32" s="9"/>
      <c r="BO32" s="22"/>
      <c r="BP32" s="8"/>
      <c r="BQ32" s="50"/>
      <c r="BR32" s="9"/>
      <c r="BS32" s="22"/>
      <c r="BT32" s="8"/>
      <c r="BU32" s="50"/>
      <c r="BV32" s="9"/>
      <c r="BW32" s="22"/>
      <c r="BX32" s="8"/>
      <c r="BY32" s="50"/>
      <c r="BZ32" s="9"/>
      <c r="CA32" s="22"/>
      <c r="CB32" s="8"/>
      <c r="CC32" s="8"/>
      <c r="CD32" s="50"/>
      <c r="CE32" s="22"/>
      <c r="CF32" s="8"/>
      <c r="CG32" s="8"/>
      <c r="CH32" s="50"/>
      <c r="CI32" s="22"/>
      <c r="CJ32" s="8"/>
      <c r="CK32" s="8"/>
      <c r="CL32" s="50"/>
      <c r="FF32" s="44">
        <f t="shared" si="24"/>
        <v>46784</v>
      </c>
      <c r="HF32" s="23" cm="1">
        <f t="array" aca="1" ref="HF32" ca="1">IFERROR(IF(HI32="","",TEXT(DAY(HH32)&amp;"/"&amp;MONTH(INDIRECT("HG"&amp;HL32))&amp;"/"&amp;YEAR(INDIRECT("HG"&amp;HL32))+0,"DD/MM/YYYY"))+0,"")</f>
        <v>45981</v>
      </c>
      <c r="HG32" s="1" t="str">
        <f ca="1"/>
        <v>BS Gestion</v>
      </c>
      <c r="HH32" s="1">
        <f ca="1"/>
        <v>20</v>
      </c>
      <c r="HI32" s="4">
        <f ca="1"/>
        <v>375705</v>
      </c>
      <c r="HJ32" s="1" t="str">
        <f ca="1"/>
        <v/>
      </c>
      <c r="HK32" s="1" t="str">
        <f ca="1"/>
        <v>SI</v>
      </c>
      <c r="HL32" s="1">
        <f t="shared" ca="1" si="22"/>
        <v>3</v>
      </c>
    </row>
    <row r="33" spans="1:220" ht="15" x14ac:dyDescent="0.25">
      <c r="B33" s="42"/>
      <c r="C33" s="102"/>
      <c r="D33" s="133"/>
      <c r="E33" s="134"/>
      <c r="F33" s="134" t="str">
        <f t="shared" ca="1" si="19"/>
        <v/>
      </c>
      <c r="G33" s="135" t="str">
        <f t="shared" si="20"/>
        <v/>
      </c>
      <c r="H33" s="7">
        <f t="shared" si="23"/>
        <v>31</v>
      </c>
      <c r="I33" s="1" t="s">
        <v>59</v>
      </c>
      <c r="J33" s="3">
        <v>13</v>
      </c>
      <c r="K33" s="3">
        <v>13</v>
      </c>
      <c r="L33" s="1" t="s">
        <v>7</v>
      </c>
      <c r="M33" s="1" t="s">
        <v>12</v>
      </c>
      <c r="N33" s="14"/>
      <c r="O33" s="3">
        <v>13</v>
      </c>
      <c r="P33" s="8">
        <v>98566</v>
      </c>
      <c r="Q33" s="50"/>
      <c r="R33" s="9" t="s">
        <v>48</v>
      </c>
      <c r="S33" s="22">
        <f>+O33</f>
        <v>13</v>
      </c>
      <c r="T33" s="8">
        <f>+P33</f>
        <v>98566</v>
      </c>
      <c r="U33" s="50"/>
      <c r="V33" s="9"/>
      <c r="W33" s="22">
        <f>+S33</f>
        <v>13</v>
      </c>
      <c r="X33" s="8">
        <f>+T33</f>
        <v>98566</v>
      </c>
      <c r="Y33" s="50"/>
      <c r="Z33" s="9" t="s">
        <v>48</v>
      </c>
      <c r="AA33" s="22">
        <f>+W33</f>
        <v>13</v>
      </c>
      <c r="AB33" s="8">
        <f>+X33</f>
        <v>98566</v>
      </c>
      <c r="AC33" s="50"/>
      <c r="AD33" s="9" t="s">
        <v>48</v>
      </c>
      <c r="AE33" s="22">
        <v>11</v>
      </c>
      <c r="AF33" s="8">
        <v>86512</v>
      </c>
      <c r="AG33" s="50"/>
      <c r="AH33" s="9" t="s">
        <v>48</v>
      </c>
      <c r="AI33" s="22">
        <v>16</v>
      </c>
      <c r="AJ33" s="8">
        <v>89083</v>
      </c>
      <c r="AK33" s="50"/>
      <c r="AL33" s="9" t="s">
        <v>48</v>
      </c>
      <c r="AM33" s="22">
        <f>+AI33</f>
        <v>16</v>
      </c>
      <c r="AN33" s="8">
        <f>+AJ33</f>
        <v>89083</v>
      </c>
      <c r="AO33" s="50"/>
      <c r="AP33" s="9" t="s">
        <v>48</v>
      </c>
      <c r="AQ33" s="22">
        <f>+AM33</f>
        <v>16</v>
      </c>
      <c r="AR33" s="8">
        <f>+AN33</f>
        <v>89083</v>
      </c>
      <c r="AS33" s="50"/>
      <c r="AT33" s="9"/>
      <c r="AU33" s="22">
        <f>+AQ33</f>
        <v>16</v>
      </c>
      <c r="AV33" s="8">
        <f>+AR33</f>
        <v>89083</v>
      </c>
      <c r="AW33" s="50"/>
      <c r="AX33" s="9"/>
      <c r="AY33" s="22">
        <f>+AU33</f>
        <v>16</v>
      </c>
      <c r="AZ33" s="8">
        <f>+AV33</f>
        <v>89083</v>
      </c>
      <c r="BA33" s="50"/>
      <c r="BB33" s="9"/>
      <c r="BC33" s="22">
        <f>+AY33</f>
        <v>16</v>
      </c>
      <c r="BD33" s="8">
        <f>+AZ33</f>
        <v>89083</v>
      </c>
      <c r="BE33" s="50"/>
      <c r="BF33" s="9"/>
      <c r="BG33" s="22">
        <f>+BC33</f>
        <v>16</v>
      </c>
      <c r="BH33" s="8">
        <f>+BD33</f>
        <v>89083</v>
      </c>
      <c r="BI33" s="50"/>
      <c r="BJ33" s="9"/>
      <c r="BK33" s="22">
        <f>+BG33</f>
        <v>16</v>
      </c>
      <c r="BL33" s="8">
        <f>+BH33</f>
        <v>89083</v>
      </c>
      <c r="BM33" s="50"/>
      <c r="BN33" s="9"/>
      <c r="BO33" s="22">
        <f>+BK33</f>
        <v>16</v>
      </c>
      <c r="BP33" s="8">
        <f>+BL33</f>
        <v>89083</v>
      </c>
      <c r="BQ33" s="50"/>
      <c r="BR33" s="9"/>
      <c r="BS33" s="22">
        <f>+BO33</f>
        <v>16</v>
      </c>
      <c r="BT33" s="8">
        <f>+BP33</f>
        <v>89083</v>
      </c>
      <c r="BU33" s="50"/>
      <c r="BV33" s="9"/>
      <c r="BW33" s="22"/>
      <c r="BX33" s="8"/>
      <c r="BY33" s="50"/>
      <c r="BZ33" s="9"/>
      <c r="CA33" s="22"/>
      <c r="CB33" s="8"/>
      <c r="CC33" s="8"/>
      <c r="CD33" s="50"/>
      <c r="CE33" s="22"/>
      <c r="CF33" s="8"/>
      <c r="CG33" s="8"/>
      <c r="CH33" s="50"/>
      <c r="CI33" s="22"/>
      <c r="CJ33" s="8"/>
      <c r="CK33" s="8"/>
      <c r="CL33" s="50"/>
      <c r="FF33" s="44">
        <f t="shared" si="24"/>
        <v>46813</v>
      </c>
      <c r="HF33" s="23" cm="1">
        <f t="array" aca="1" ref="HF33" ca="1">IFERROR(IF(HI33="","",TEXT(DAY(HH33)&amp;"/"&amp;MONTH(INDIRECT("HG"&amp;HL33))&amp;"/"&amp;YEAR(INDIRECT("HG"&amp;HL33))+0,"DD/MM/YYYY"))+0,"")</f>
        <v>45981</v>
      </c>
      <c r="HG33" s="1" t="str">
        <f ca="1"/>
        <v>66 eCommerce</v>
      </c>
      <c r="HH33" s="1">
        <f ca="1"/>
        <v>20</v>
      </c>
      <c r="HI33" s="4">
        <f ca="1"/>
        <v>302500</v>
      </c>
      <c r="HJ33" s="1" t="str">
        <f ca="1"/>
        <v/>
      </c>
      <c r="HK33" s="1" t="str">
        <f ca="1"/>
        <v>SI</v>
      </c>
      <c r="HL33" s="1">
        <f t="shared" ca="1" si="22"/>
        <v>3</v>
      </c>
    </row>
    <row r="34" spans="1:220" ht="15" x14ac:dyDescent="0.25">
      <c r="B34" s="42"/>
      <c r="C34" s="102"/>
      <c r="D34" s="133"/>
      <c r="E34" s="134"/>
      <c r="F34" s="134" t="str">
        <f t="shared" ca="1" si="19"/>
        <v/>
      </c>
      <c r="G34" s="135" t="str">
        <f t="shared" si="20"/>
        <v/>
      </c>
      <c r="H34" s="7">
        <f t="shared" si="23"/>
        <v>32</v>
      </c>
      <c r="I34" s="1" t="s">
        <v>59</v>
      </c>
      <c r="J34" s="3">
        <v>2</v>
      </c>
      <c r="K34" s="3">
        <v>2</v>
      </c>
      <c r="L34" s="1" t="s">
        <v>7</v>
      </c>
      <c r="M34" s="1" t="s">
        <v>12</v>
      </c>
      <c r="N34" s="14"/>
      <c r="O34" s="3">
        <v>2</v>
      </c>
      <c r="P34" s="8">
        <v>71670</v>
      </c>
      <c r="Q34" s="50"/>
      <c r="R34" s="9" t="s">
        <v>48</v>
      </c>
      <c r="S34" s="22">
        <f>+O34</f>
        <v>2</v>
      </c>
      <c r="T34" s="8">
        <f>+P34</f>
        <v>71670</v>
      </c>
      <c r="U34" s="50"/>
      <c r="V34" s="9"/>
      <c r="W34" s="22">
        <f>+S34</f>
        <v>2</v>
      </c>
      <c r="X34" s="8">
        <f>+T34</f>
        <v>71670</v>
      </c>
      <c r="Y34" s="50"/>
      <c r="Z34" s="9" t="s">
        <v>48</v>
      </c>
      <c r="AA34" s="22">
        <f>+W34</f>
        <v>2</v>
      </c>
      <c r="AB34" s="8">
        <f>+X34</f>
        <v>71670</v>
      </c>
      <c r="AC34" s="50"/>
      <c r="AD34" s="9" t="s">
        <v>48</v>
      </c>
      <c r="AE34" s="22">
        <f>+AA34</f>
        <v>2</v>
      </c>
      <c r="AF34" s="8">
        <f>+AB34</f>
        <v>71670</v>
      </c>
      <c r="AG34" s="50"/>
      <c r="AH34" s="9"/>
      <c r="AI34" s="22">
        <f>+AE34</f>
        <v>2</v>
      </c>
      <c r="AJ34" s="8">
        <f>+AF34</f>
        <v>71670</v>
      </c>
      <c r="AK34" s="50"/>
      <c r="AL34" s="9"/>
      <c r="AM34" s="22">
        <f>+AI34</f>
        <v>2</v>
      </c>
      <c r="AN34" s="8">
        <f>+AJ34</f>
        <v>71670</v>
      </c>
      <c r="AO34" s="50"/>
      <c r="AP34" s="9"/>
      <c r="AQ34" s="22">
        <f>+AM34</f>
        <v>2</v>
      </c>
      <c r="AR34" s="8">
        <f>+AN34</f>
        <v>71670</v>
      </c>
      <c r="AS34" s="50"/>
      <c r="AT34" s="9"/>
      <c r="AU34" s="22">
        <f>+AQ34</f>
        <v>2</v>
      </c>
      <c r="AV34" s="8">
        <f>+AR34</f>
        <v>71670</v>
      </c>
      <c r="AW34" s="50"/>
      <c r="AX34" s="9"/>
      <c r="AY34" s="22">
        <f>+AU34</f>
        <v>2</v>
      </c>
      <c r="AZ34" s="8">
        <f>+AV34</f>
        <v>71670</v>
      </c>
      <c r="BA34" s="50"/>
      <c r="BB34" s="9"/>
      <c r="BC34" s="22">
        <f>+AY34</f>
        <v>2</v>
      </c>
      <c r="BD34" s="8">
        <f>+AZ34</f>
        <v>71670</v>
      </c>
      <c r="BE34" s="50"/>
      <c r="BF34" s="9"/>
      <c r="BG34" s="22">
        <f>+BC34</f>
        <v>2</v>
      </c>
      <c r="BH34" s="8">
        <f>+BD34</f>
        <v>71670</v>
      </c>
      <c r="BI34" s="50"/>
      <c r="BJ34" s="9"/>
      <c r="BK34" s="22">
        <f>+BG34</f>
        <v>2</v>
      </c>
      <c r="BL34" s="8">
        <f>+BH34</f>
        <v>71670</v>
      </c>
      <c r="BM34" s="50"/>
      <c r="BN34" s="9"/>
      <c r="BO34" s="22">
        <f>+BK34</f>
        <v>2</v>
      </c>
      <c r="BP34" s="8">
        <f>+BL34</f>
        <v>71670</v>
      </c>
      <c r="BQ34" s="50"/>
      <c r="BR34" s="9"/>
      <c r="BS34" s="22">
        <f>+BO34</f>
        <v>2</v>
      </c>
      <c r="BT34" s="8">
        <f>+BP34</f>
        <v>71670</v>
      </c>
      <c r="BU34" s="50"/>
      <c r="BV34" s="9"/>
      <c r="BW34" s="22"/>
      <c r="BX34" s="8"/>
      <c r="BY34" s="50"/>
      <c r="BZ34" s="9"/>
      <c r="CA34" s="22"/>
      <c r="CB34" s="8"/>
      <c r="CC34" s="8"/>
      <c r="CD34" s="50"/>
      <c r="CE34" s="22"/>
      <c r="CF34" s="8"/>
      <c r="CG34" s="8"/>
      <c r="CH34" s="50"/>
      <c r="CI34" s="22"/>
      <c r="CJ34" s="8"/>
      <c r="CK34" s="8"/>
      <c r="CL34" s="50"/>
      <c r="FF34" s="44">
        <f t="shared" si="24"/>
        <v>46844</v>
      </c>
      <c r="HF34" s="23" cm="1">
        <f t="array" aca="1" ref="HF34" ca="1">IFERROR(IF(HI34="","",TEXT(DAY(HH34)&amp;"/"&amp;MONTH(INDIRECT("HG"&amp;HL34))&amp;"/"&amp;YEAR(INDIRECT("HG"&amp;HL34))+0,"DD/MM/YYYY"))+0,"")</f>
        <v>45981</v>
      </c>
      <c r="HG34" s="1" t="str">
        <f ca="1"/>
        <v>Pago de IVA</v>
      </c>
      <c r="HH34" s="1">
        <f ca="1"/>
        <v>20</v>
      </c>
      <c r="HI34" s="4">
        <f ca="1"/>
        <v>1232509.27</v>
      </c>
      <c r="HJ34" s="1" t="str">
        <f ca="1"/>
        <v/>
      </c>
      <c r="HK34" s="1" t="str">
        <f ca="1"/>
        <v>SI</v>
      </c>
      <c r="HL34" s="1">
        <f t="shared" ca="1" si="22"/>
        <v>3</v>
      </c>
    </row>
    <row r="35" spans="1:220" ht="15" x14ac:dyDescent="0.25">
      <c r="D35" s="133"/>
      <c r="E35" s="134"/>
      <c r="F35" s="134" t="str">
        <f t="shared" ca="1" si="19"/>
        <v/>
      </c>
      <c r="G35" s="135" t="str">
        <f t="shared" si="20"/>
        <v/>
      </c>
      <c r="H35" s="7">
        <f t="shared" si="23"/>
        <v>33</v>
      </c>
      <c r="I35" s="1" t="s">
        <v>63</v>
      </c>
      <c r="J35" s="3">
        <v>29</v>
      </c>
      <c r="K35" s="3">
        <v>29</v>
      </c>
      <c r="L35" s="1" t="s">
        <v>7</v>
      </c>
      <c r="M35" s="1" t="s">
        <v>12</v>
      </c>
      <c r="N35" s="14"/>
      <c r="O35" s="3">
        <v>29</v>
      </c>
      <c r="P35" s="8">
        <v>145000</v>
      </c>
      <c r="Q35" s="50"/>
      <c r="R35" s="25" t="s">
        <v>48</v>
      </c>
      <c r="S35" s="22"/>
      <c r="T35" s="8"/>
      <c r="U35" s="50"/>
      <c r="V35" s="9"/>
      <c r="W35" s="22"/>
      <c r="X35" s="8"/>
      <c r="Y35" s="50"/>
      <c r="Z35" s="9"/>
      <c r="AA35" s="22"/>
      <c r="AB35" s="8"/>
      <c r="AC35" s="50"/>
      <c r="AD35" s="9"/>
      <c r="AE35" s="22"/>
      <c r="AF35" s="8"/>
      <c r="AG35" s="50"/>
      <c r="AH35" s="9"/>
      <c r="AI35" s="22"/>
      <c r="AJ35" s="8"/>
      <c r="AK35" s="50"/>
      <c r="AL35" s="9"/>
      <c r="AM35" s="22"/>
      <c r="AN35" s="8"/>
      <c r="AO35" s="50"/>
      <c r="AP35" s="9"/>
      <c r="AQ35" s="22"/>
      <c r="AR35" s="8"/>
      <c r="AS35" s="50"/>
      <c r="AT35" s="9"/>
      <c r="AU35" s="22"/>
      <c r="AV35" s="8"/>
      <c r="AW35" s="50"/>
      <c r="AX35" s="9"/>
      <c r="AY35" s="22"/>
      <c r="AZ35" s="8"/>
      <c r="BA35" s="50"/>
      <c r="BB35" s="9"/>
      <c r="BC35" s="22"/>
      <c r="BD35" s="8"/>
      <c r="BE35" s="50"/>
      <c r="BF35" s="9"/>
      <c r="BG35" s="22"/>
      <c r="BH35" s="8"/>
      <c r="BI35" s="50"/>
      <c r="BJ35" s="9"/>
      <c r="BK35" s="22"/>
      <c r="BL35" s="8"/>
      <c r="BM35" s="50"/>
      <c r="BN35" s="9"/>
      <c r="BO35" s="22"/>
      <c r="BP35" s="8"/>
      <c r="BQ35" s="50"/>
      <c r="BR35" s="9"/>
      <c r="BS35" s="22"/>
      <c r="BT35" s="8"/>
      <c r="BU35" s="50"/>
      <c r="BV35" s="9"/>
      <c r="BW35" s="22"/>
      <c r="BX35" s="8"/>
      <c r="BY35" s="50"/>
      <c r="BZ35" s="9"/>
      <c r="CA35" s="22"/>
      <c r="CB35" s="8"/>
      <c r="CC35" s="8"/>
      <c r="CD35" s="50"/>
      <c r="CE35" s="22"/>
      <c r="CF35" s="8"/>
      <c r="CG35" s="8"/>
      <c r="CH35" s="50"/>
      <c r="CI35" s="22"/>
      <c r="CJ35" s="8"/>
      <c r="CK35" s="8"/>
      <c r="CL35" s="50"/>
      <c r="FF35" s="44">
        <f t="shared" si="24"/>
        <v>46874</v>
      </c>
      <c r="HF35" s="23" cm="1">
        <f t="array" aca="1" ref="HF35" ca="1">IFERROR(IF(HI35="","",TEXT(DAY(HH35)&amp;"/"&amp;MONTH(INDIRECT("HG"&amp;HL35))&amp;"/"&amp;YEAR(INDIRECT("HG"&amp;HL35))+0,"DD/MM/YYYY"))+0,"")</f>
        <v>45983</v>
      </c>
      <c r="HG35" s="1" t="str">
        <f ca="1"/>
        <v>Seguros Rivadavía</v>
      </c>
      <c r="HH35" s="1">
        <f ca="1"/>
        <v>22</v>
      </c>
      <c r="HI35" s="4">
        <f ca="1"/>
        <v>81980</v>
      </c>
      <c r="HJ35" s="1" t="str">
        <f ca="1"/>
        <v/>
      </c>
      <c r="HK35" s="1" t="str">
        <f ca="1"/>
        <v/>
      </c>
      <c r="HL35" s="1">
        <f t="shared" ca="1" si="22"/>
        <v>3</v>
      </c>
    </row>
    <row r="36" spans="1:220" ht="15" x14ac:dyDescent="0.25">
      <c r="D36" s="59"/>
      <c r="E36" s="25"/>
      <c r="F36" s="25" t="str">
        <f t="shared" ca="1" si="19"/>
        <v/>
      </c>
      <c r="G36" s="106" t="str">
        <f t="shared" si="20"/>
        <v/>
      </c>
      <c r="H36" s="7">
        <f t="shared" si="23"/>
        <v>34</v>
      </c>
      <c r="I36" s="1" t="s">
        <v>61</v>
      </c>
      <c r="J36" s="3">
        <v>1</v>
      </c>
      <c r="K36" s="3">
        <v>1</v>
      </c>
      <c r="L36" s="1" t="s">
        <v>7</v>
      </c>
      <c r="M36" s="1" t="s">
        <v>12</v>
      </c>
      <c r="N36" s="14"/>
      <c r="O36" s="22">
        <v>1</v>
      </c>
      <c r="P36" s="8">
        <v>16388.04</v>
      </c>
      <c r="Q36" s="50"/>
      <c r="R36" s="9" t="s">
        <v>48</v>
      </c>
      <c r="S36" s="22">
        <f>+O36</f>
        <v>1</v>
      </c>
      <c r="T36" s="8">
        <f>+P36</f>
        <v>16388.04</v>
      </c>
      <c r="U36" s="50"/>
      <c r="V36" s="9"/>
      <c r="W36" s="22">
        <f>+S36</f>
        <v>1</v>
      </c>
      <c r="X36" s="8">
        <f>+T36</f>
        <v>16388.04</v>
      </c>
      <c r="Y36" s="50"/>
      <c r="Z36" s="9" t="s">
        <v>48</v>
      </c>
      <c r="AA36" s="22">
        <f>+W36</f>
        <v>1</v>
      </c>
      <c r="AB36" s="8">
        <v>10350</v>
      </c>
      <c r="AC36" s="50"/>
      <c r="AD36" s="9" t="s">
        <v>48</v>
      </c>
      <c r="AE36" s="22">
        <f>+AA36</f>
        <v>1</v>
      </c>
      <c r="AF36" s="8">
        <f>+AB36</f>
        <v>10350</v>
      </c>
      <c r="AG36" s="50"/>
      <c r="AH36" s="9"/>
      <c r="AI36" s="22">
        <f>+AE36</f>
        <v>1</v>
      </c>
      <c r="AJ36" s="8">
        <f>+AF36</f>
        <v>10350</v>
      </c>
      <c r="AK36" s="50"/>
      <c r="AL36" s="9"/>
      <c r="AM36" s="22">
        <f>+AI36</f>
        <v>1</v>
      </c>
      <c r="AN36" s="8">
        <f>+AJ36</f>
        <v>10350</v>
      </c>
      <c r="AO36" s="50"/>
      <c r="AP36" s="9" t="s">
        <v>48</v>
      </c>
      <c r="AQ36" s="22">
        <f>+AM36</f>
        <v>1</v>
      </c>
      <c r="AR36" s="8">
        <f>+AN36</f>
        <v>10350</v>
      </c>
      <c r="AS36" s="50"/>
      <c r="AT36" s="9"/>
      <c r="AU36" s="22">
        <f>+AQ36</f>
        <v>1</v>
      </c>
      <c r="AV36" s="8">
        <f>+AR36</f>
        <v>10350</v>
      </c>
      <c r="AW36" s="50"/>
      <c r="AX36" s="9"/>
      <c r="AY36" s="22">
        <f>+AU36</f>
        <v>1</v>
      </c>
      <c r="AZ36" s="8">
        <f>+AV36</f>
        <v>10350</v>
      </c>
      <c r="BA36" s="50"/>
      <c r="BB36" s="9"/>
      <c r="BC36" s="22">
        <f>+AY36</f>
        <v>1</v>
      </c>
      <c r="BD36" s="8">
        <f>+AZ36</f>
        <v>10350</v>
      </c>
      <c r="BE36" s="50"/>
      <c r="BF36" s="9"/>
      <c r="BG36" s="22">
        <f>+BC36</f>
        <v>1</v>
      </c>
      <c r="BH36" s="8">
        <f>+BD36</f>
        <v>10350</v>
      </c>
      <c r="BI36" s="50"/>
      <c r="BJ36" s="9"/>
      <c r="BK36" s="22">
        <f>+BG36</f>
        <v>1</v>
      </c>
      <c r="BL36" s="8">
        <f>+BH36</f>
        <v>10350</v>
      </c>
      <c r="BM36" s="50"/>
      <c r="BN36" s="9"/>
      <c r="BO36" s="22">
        <f>+BK36</f>
        <v>1</v>
      </c>
      <c r="BP36" s="8">
        <f>+BL36</f>
        <v>10350</v>
      </c>
      <c r="BQ36" s="50"/>
      <c r="BR36" s="9"/>
      <c r="BS36" s="22">
        <f>+BO36</f>
        <v>1</v>
      </c>
      <c r="BT36" s="8">
        <f>+BP36</f>
        <v>10350</v>
      </c>
      <c r="BU36" s="50"/>
      <c r="BV36" s="9"/>
      <c r="BW36" s="22"/>
      <c r="BX36" s="8"/>
      <c r="BY36" s="50"/>
      <c r="BZ36" s="9"/>
      <c r="CA36" s="22"/>
      <c r="CB36" s="8"/>
      <c r="CC36" s="8"/>
      <c r="CD36" s="50"/>
      <c r="CE36" s="22"/>
      <c r="CF36" s="8"/>
      <c r="CG36" s="8"/>
      <c r="CH36" s="50"/>
      <c r="CI36" s="22"/>
      <c r="CJ36" s="8"/>
      <c r="CK36" s="8"/>
      <c r="CL36" s="50"/>
      <c r="FF36" s="44">
        <f t="shared" si="24"/>
        <v>46905</v>
      </c>
      <c r="HF36" s="23" cm="1">
        <f t="array" aca="1" ref="HF36" ca="1">IFERROR(IF(HI36="","",TEXT(DAY(HH36)&amp;"/"&amp;MONTH(INDIRECT("HG"&amp;HL36))&amp;"/"&amp;YEAR(INDIRECT("HG"&amp;HL36))+0,"DD/MM/YYYY"))+0,"")</f>
        <v>45985</v>
      </c>
      <c r="HG36" s="1" t="str">
        <f ca="1"/>
        <v>Prestamo Santander Rio</v>
      </c>
      <c r="HH36" s="1">
        <f ca="1"/>
        <v>24</v>
      </c>
      <c r="HI36" s="4">
        <f ca="1"/>
        <v>889000</v>
      </c>
      <c r="HJ36" s="1" t="str">
        <f ca="1"/>
        <v/>
      </c>
      <c r="HK36" s="1" t="str">
        <f ca="1"/>
        <v>SI</v>
      </c>
      <c r="HL36" s="1">
        <f t="shared" ca="1" si="22"/>
        <v>3</v>
      </c>
    </row>
    <row r="37" spans="1:220" ht="15" x14ac:dyDescent="0.25">
      <c r="D37" s="59"/>
      <c r="E37" s="25"/>
      <c r="F37" s="25" t="str">
        <f t="shared" ca="1" si="19"/>
        <v/>
      </c>
      <c r="G37" s="106" t="str">
        <f t="shared" si="20"/>
        <v/>
      </c>
      <c r="H37" s="7">
        <f t="shared" si="23"/>
        <v>35</v>
      </c>
      <c r="I37" s="1" t="s">
        <v>64</v>
      </c>
      <c r="J37" s="3">
        <v>13</v>
      </c>
      <c r="K37" s="3">
        <v>13</v>
      </c>
      <c r="L37" s="1" t="s">
        <v>7</v>
      </c>
      <c r="M37" s="1" t="s">
        <v>12</v>
      </c>
      <c r="N37" s="14"/>
      <c r="O37" s="22">
        <v>13</v>
      </c>
      <c r="P37" s="8">
        <v>90346.85</v>
      </c>
      <c r="Q37" s="50"/>
      <c r="R37" s="9" t="s">
        <v>48</v>
      </c>
      <c r="S37" s="22">
        <f>+O37</f>
        <v>13</v>
      </c>
      <c r="T37" s="8">
        <f>+P37</f>
        <v>90346.85</v>
      </c>
      <c r="U37" s="50"/>
      <c r="V37" s="9"/>
      <c r="W37" s="22">
        <f>+S37</f>
        <v>13</v>
      </c>
      <c r="X37" s="8">
        <f>+T37</f>
        <v>90346.85</v>
      </c>
      <c r="Y37" s="50"/>
      <c r="Z37" s="9" t="s">
        <v>48</v>
      </c>
      <c r="AA37" s="22">
        <f>+W37</f>
        <v>13</v>
      </c>
      <c r="AB37" s="8">
        <f>+X37</f>
        <v>90346.85</v>
      </c>
      <c r="AC37" s="50"/>
      <c r="AD37" s="9"/>
      <c r="AE37" s="22">
        <f>+AA37</f>
        <v>13</v>
      </c>
      <c r="AF37" s="8">
        <v>123878</v>
      </c>
      <c r="AG37" s="50"/>
      <c r="AH37" s="9" t="s">
        <v>48</v>
      </c>
      <c r="AI37" s="22">
        <v>10</v>
      </c>
      <c r="AJ37" s="8">
        <f>+AF37</f>
        <v>123878</v>
      </c>
      <c r="AK37" s="50"/>
      <c r="AL37" s="9" t="s">
        <v>48</v>
      </c>
      <c r="AM37" s="22">
        <v>1</v>
      </c>
      <c r="AN37" s="8">
        <f>+AJ37</f>
        <v>123878</v>
      </c>
      <c r="AO37" s="50"/>
      <c r="AP37" s="9" t="s">
        <v>48</v>
      </c>
      <c r="AQ37" s="22">
        <f>+AM37</f>
        <v>1</v>
      </c>
      <c r="AR37" s="8">
        <f>+AN37</f>
        <v>123878</v>
      </c>
      <c r="AS37" s="50"/>
      <c r="AT37" s="9"/>
      <c r="AU37" s="22">
        <f>+AQ37</f>
        <v>1</v>
      </c>
      <c r="AV37" s="8">
        <f>+AR37</f>
        <v>123878</v>
      </c>
      <c r="AW37" s="50"/>
      <c r="AX37" s="9"/>
      <c r="AY37" s="22">
        <f>+AU37</f>
        <v>1</v>
      </c>
      <c r="AZ37" s="8">
        <f>+AV37</f>
        <v>123878</v>
      </c>
      <c r="BA37" s="50"/>
      <c r="BB37" s="9"/>
      <c r="BC37" s="22">
        <f>+AY37</f>
        <v>1</v>
      </c>
      <c r="BD37" s="8">
        <f>+AZ37</f>
        <v>123878</v>
      </c>
      <c r="BE37" s="50"/>
      <c r="BF37" s="9"/>
      <c r="BG37" s="22">
        <f>+BC37</f>
        <v>1</v>
      </c>
      <c r="BH37" s="8">
        <f>+BD37</f>
        <v>123878</v>
      </c>
      <c r="BI37" s="50"/>
      <c r="BJ37" s="9"/>
      <c r="BK37" s="22">
        <f>+BG37</f>
        <v>1</v>
      </c>
      <c r="BL37" s="8">
        <f>+BH37</f>
        <v>123878</v>
      </c>
      <c r="BM37" s="50"/>
      <c r="BN37" s="9"/>
      <c r="BO37" s="22">
        <f>+BK37</f>
        <v>1</v>
      </c>
      <c r="BP37" s="8">
        <f>+BL37</f>
        <v>123878</v>
      </c>
      <c r="BQ37" s="50"/>
      <c r="BR37" s="9"/>
      <c r="BS37" s="22">
        <f>+BO37</f>
        <v>1</v>
      </c>
      <c r="BT37" s="8">
        <f>+BP37</f>
        <v>123878</v>
      </c>
      <c r="BU37" s="50"/>
      <c r="BV37" s="9"/>
      <c r="BW37" s="22"/>
      <c r="BX37" s="8"/>
      <c r="BY37" s="50"/>
      <c r="BZ37" s="9"/>
      <c r="CA37" s="22"/>
      <c r="CB37" s="8"/>
      <c r="CC37" s="8"/>
      <c r="CD37" s="50"/>
      <c r="CE37" s="22"/>
      <c r="CF37" s="8"/>
      <c r="CG37" s="8"/>
      <c r="CH37" s="50"/>
      <c r="CI37" s="22"/>
      <c r="CJ37" s="8"/>
      <c r="CK37" s="8"/>
      <c r="CL37" s="50"/>
      <c r="FF37" s="44">
        <f t="shared" si="24"/>
        <v>46935</v>
      </c>
      <c r="HF37" s="23" cm="1">
        <f t="array" aca="1" ref="HF37" ca="1">IFERROR(IF(HI37="","",TEXT(DAY(HH37)&amp;"/"&amp;MONTH(INDIRECT("HG"&amp;HL37))&amp;"/"&amp;YEAR(INDIRECT("HG"&amp;HL37))+0,"DD/MM/YYYY"))+0,"")</f>
        <v>45986</v>
      </c>
      <c r="HG37" s="1" t="str">
        <f ca="1"/>
        <v>Tarifa Expo</v>
      </c>
      <c r="HH37" s="1">
        <f ca="1"/>
        <v>25</v>
      </c>
      <c r="HI37" s="4">
        <f ca="1"/>
        <v>174636</v>
      </c>
      <c r="HJ37" s="1" t="str">
        <f ca="1"/>
        <v/>
      </c>
      <c r="HK37" s="1" t="str">
        <f ca="1"/>
        <v>SI</v>
      </c>
      <c r="HL37" s="1">
        <f t="shared" ca="1" si="22"/>
        <v>3</v>
      </c>
    </row>
    <row r="38" spans="1:220" ht="15" x14ac:dyDescent="0.25">
      <c r="D38" s="59"/>
      <c r="E38" s="25"/>
      <c r="F38" s="25"/>
      <c r="G38" s="106"/>
      <c r="H38" s="7">
        <f t="shared" si="23"/>
        <v>36</v>
      </c>
      <c r="I38" s="1" t="s">
        <v>66</v>
      </c>
      <c r="K38" s="3"/>
      <c r="L38" s="1" t="s">
        <v>7</v>
      </c>
      <c r="N38" s="14"/>
      <c r="O38" s="22"/>
      <c r="P38" s="8"/>
      <c r="Q38" s="50"/>
      <c r="R38" s="9"/>
      <c r="S38" s="22">
        <v>20</v>
      </c>
      <c r="T38" s="8">
        <v>1232509.27</v>
      </c>
      <c r="U38" s="50"/>
      <c r="V38" s="9" t="s">
        <v>48</v>
      </c>
      <c r="W38" s="22"/>
      <c r="X38" s="8"/>
      <c r="Y38" s="50"/>
      <c r="Z38" s="9"/>
      <c r="AA38" s="22"/>
      <c r="AB38" s="8"/>
      <c r="AC38" s="50"/>
      <c r="AD38" s="9"/>
      <c r="AE38" s="22"/>
      <c r="AF38" s="8"/>
      <c r="AG38" s="50"/>
      <c r="AH38" s="9"/>
      <c r="AI38" s="22"/>
      <c r="AJ38" s="8"/>
      <c r="AK38" s="50"/>
      <c r="AL38" s="9"/>
      <c r="AM38" s="22"/>
      <c r="AN38" s="8"/>
      <c r="AO38" s="50"/>
      <c r="AP38" s="9"/>
      <c r="AQ38" s="22"/>
      <c r="AR38" s="8"/>
      <c r="AS38" s="50"/>
      <c r="AT38" s="9"/>
      <c r="AU38" s="22"/>
      <c r="AV38" s="8"/>
      <c r="AW38" s="50"/>
      <c r="AX38" s="9"/>
      <c r="AY38" s="22"/>
      <c r="AZ38" s="8"/>
      <c r="BA38" s="50"/>
      <c r="BB38" s="9"/>
      <c r="BC38" s="22"/>
      <c r="BD38" s="8"/>
      <c r="BE38" s="50"/>
      <c r="BF38" s="9"/>
      <c r="BG38" s="22"/>
      <c r="BH38" s="8"/>
      <c r="BI38" s="50"/>
      <c r="BJ38" s="9"/>
      <c r="BK38" s="22"/>
      <c r="BL38" s="8"/>
      <c r="BM38" s="50"/>
      <c r="BN38" s="9"/>
      <c r="BO38" s="22"/>
      <c r="BP38" s="8"/>
      <c r="BQ38" s="50"/>
      <c r="BR38" s="9"/>
      <c r="BS38" s="22"/>
      <c r="BT38" s="8"/>
      <c r="BU38" s="50"/>
      <c r="BV38" s="9"/>
      <c r="BW38" s="22"/>
      <c r="BX38" s="8"/>
      <c r="BY38" s="50"/>
      <c r="BZ38" s="9"/>
      <c r="CA38" s="22"/>
      <c r="CB38" s="8"/>
      <c r="CC38" s="8"/>
      <c r="CD38" s="50"/>
      <c r="CE38" s="22"/>
      <c r="CF38" s="8"/>
      <c r="CG38" s="8"/>
      <c r="CH38" s="50"/>
      <c r="CI38" s="22"/>
      <c r="CJ38" s="8"/>
      <c r="CK38" s="8"/>
      <c r="CL38" s="50"/>
      <c r="FF38" s="44"/>
      <c r="HF38" s="23" cm="1">
        <f t="array" aca="1" ref="HF38" ca="1">IFERROR(IF(HI38="","",TEXT(DAY(HH38)&amp;"/"&amp;MONTH(INDIRECT("HG"&amp;HL38))&amp;"/"&amp;YEAR(INDIRECT("HG"&amp;HL38))+0,"DD/MM/YYYY"))+0,"")</f>
        <v>45988</v>
      </c>
      <c r="HG38" s="1" t="str">
        <f ca="1"/>
        <v>Prestamo Galicia +</v>
      </c>
      <c r="HH38" s="1">
        <f ca="1"/>
        <v>27</v>
      </c>
      <c r="HI38" s="4">
        <f ca="1"/>
        <v>315894.99</v>
      </c>
      <c r="HJ38" s="1" t="str">
        <f ca="1"/>
        <v/>
      </c>
      <c r="HK38" s="1" t="str">
        <f ca="1"/>
        <v>SI</v>
      </c>
      <c r="HL38" s="1">
        <f t="shared" ca="1" si="22"/>
        <v>3</v>
      </c>
    </row>
    <row r="39" spans="1:220" ht="15" x14ac:dyDescent="0.25">
      <c r="D39" s="59"/>
      <c r="E39" s="25"/>
      <c r="F39" s="25"/>
      <c r="G39" s="106"/>
      <c r="H39" s="7">
        <f t="shared" si="23"/>
        <v>37</v>
      </c>
      <c r="I39" s="1" t="s">
        <v>159</v>
      </c>
      <c r="J39" s="3">
        <v>19</v>
      </c>
      <c r="K39" s="3">
        <v>19</v>
      </c>
      <c r="L39" s="1" t="s">
        <v>6</v>
      </c>
      <c r="M39" s="1" t="s">
        <v>191</v>
      </c>
      <c r="N39" s="14"/>
      <c r="O39" s="22"/>
      <c r="P39" s="8"/>
      <c r="Q39" s="50"/>
      <c r="R39" s="9"/>
      <c r="S39" s="22"/>
      <c r="T39" s="8"/>
      <c r="U39" s="50"/>
      <c r="V39" s="9"/>
      <c r="W39" s="22"/>
      <c r="X39" s="8"/>
      <c r="Y39" s="50"/>
      <c r="Z39" s="9"/>
      <c r="AA39" s="22">
        <v>19</v>
      </c>
      <c r="AB39" s="8">
        <f>30125.77+146500</f>
        <v>176625.77</v>
      </c>
      <c r="AC39" s="50"/>
      <c r="AD39" s="9" t="s">
        <v>48</v>
      </c>
      <c r="AE39" s="22">
        <v>18</v>
      </c>
      <c r="AF39" s="8">
        <v>50000</v>
      </c>
      <c r="AG39" s="50"/>
      <c r="AH39" s="9" t="s">
        <v>48</v>
      </c>
      <c r="AI39" s="22">
        <v>16</v>
      </c>
      <c r="AJ39" s="8">
        <f>414246+117000</f>
        <v>531246</v>
      </c>
      <c r="AK39" s="50"/>
      <c r="AL39" s="9" t="s">
        <v>48</v>
      </c>
      <c r="AM39" s="22">
        <v>20</v>
      </c>
      <c r="AN39" s="8">
        <v>848160</v>
      </c>
      <c r="AO39" s="52"/>
      <c r="AP39" s="9" t="s">
        <v>48</v>
      </c>
      <c r="AQ39" s="22">
        <v>15</v>
      </c>
      <c r="AR39" s="8">
        <f>+AN39</f>
        <v>848160</v>
      </c>
      <c r="AS39" s="50"/>
      <c r="AT39" s="9"/>
      <c r="AU39" s="22">
        <v>16</v>
      </c>
      <c r="AV39" s="8">
        <f>+AR39</f>
        <v>848160</v>
      </c>
      <c r="AW39" s="50"/>
      <c r="AX39" s="9"/>
      <c r="AY39" s="22">
        <v>16</v>
      </c>
      <c r="AZ39" s="8">
        <f>+AV39</f>
        <v>848160</v>
      </c>
      <c r="BA39" s="50"/>
      <c r="BB39" s="9"/>
      <c r="BC39" s="22">
        <v>16</v>
      </c>
      <c r="BD39" s="8">
        <f>+AZ39</f>
        <v>848160</v>
      </c>
      <c r="BE39" s="50"/>
      <c r="BF39" s="9"/>
      <c r="BG39" s="22">
        <v>16</v>
      </c>
      <c r="BH39" s="8">
        <f>+BD39</f>
        <v>848160</v>
      </c>
      <c r="BI39" s="50"/>
      <c r="BJ39" s="9"/>
      <c r="BK39" s="22">
        <v>16</v>
      </c>
      <c r="BL39" s="8">
        <f>+BH39</f>
        <v>848160</v>
      </c>
      <c r="BM39" s="50"/>
      <c r="BN39" s="9"/>
      <c r="BO39" s="22">
        <v>16</v>
      </c>
      <c r="BP39" s="8">
        <f>+BL39</f>
        <v>848160</v>
      </c>
      <c r="BQ39" s="50"/>
      <c r="BR39" s="9"/>
      <c r="BS39" s="22">
        <v>16</v>
      </c>
      <c r="BT39" s="8">
        <f>+BP39</f>
        <v>848160</v>
      </c>
      <c r="BU39" s="50"/>
      <c r="BV39" s="9"/>
      <c r="BW39" s="22"/>
      <c r="BX39" s="8"/>
      <c r="BY39" s="50"/>
      <c r="BZ39" s="9"/>
      <c r="CA39" s="22"/>
      <c r="CB39" s="8"/>
      <c r="CC39" s="8"/>
      <c r="CD39" s="50"/>
      <c r="CE39" s="22"/>
      <c r="CF39" s="8"/>
      <c r="CG39" s="8"/>
      <c r="CH39" s="50"/>
      <c r="CI39" s="22"/>
      <c r="CJ39" s="8"/>
      <c r="CK39" s="8"/>
      <c r="CL39" s="50"/>
      <c r="FF39" s="44"/>
      <c r="HF39" s="23" cm="1">
        <f t="array" aca="1" ref="HF39" ca="1">IFERROR(IF(HI39="","",TEXT(DAY(HH39)&amp;"/"&amp;MONTH(INDIRECT("HG"&amp;HL39))&amp;"/"&amp;YEAR(INDIRECT("HG"&amp;HL39))+0,"DD/MM/YYYY"))+0,"")</f>
        <v>45991</v>
      </c>
      <c r="HG39" s="1" t="str">
        <f ca="1"/>
        <v>IIBB</v>
      </c>
      <c r="HH39" s="1">
        <f ca="1"/>
        <v>30</v>
      </c>
      <c r="HI39" s="4">
        <f ca="1"/>
        <v>482115</v>
      </c>
      <c r="HJ39" s="1" t="str">
        <f ca="1"/>
        <v/>
      </c>
      <c r="HK39" s="1" t="str">
        <f ca="1"/>
        <v>SI</v>
      </c>
      <c r="HL39" s="1">
        <f t="shared" ca="1" si="22"/>
        <v>3</v>
      </c>
    </row>
    <row r="40" spans="1:220" ht="15" x14ac:dyDescent="0.25">
      <c r="D40" s="59"/>
      <c r="E40" s="25"/>
      <c r="F40" s="25"/>
      <c r="G40" s="106"/>
      <c r="H40" s="7">
        <f t="shared" si="23"/>
        <v>38</v>
      </c>
      <c r="I40" s="1" t="s">
        <v>67</v>
      </c>
      <c r="K40" s="3"/>
      <c r="L40" s="1" t="s">
        <v>7</v>
      </c>
      <c r="N40" s="14"/>
      <c r="O40" s="22"/>
      <c r="P40" s="8"/>
      <c r="Q40" s="50"/>
      <c r="R40" s="9"/>
      <c r="S40" s="22">
        <v>30</v>
      </c>
      <c r="T40" s="8">
        <v>482115</v>
      </c>
      <c r="U40" s="50"/>
      <c r="V40" s="9" t="s">
        <v>48</v>
      </c>
      <c r="W40" s="22"/>
      <c r="X40" s="8"/>
      <c r="Y40" s="50"/>
      <c r="Z40" s="9"/>
      <c r="AA40" s="22"/>
      <c r="AB40" s="8"/>
      <c r="AC40" s="50"/>
      <c r="AD40" s="9"/>
      <c r="AE40" s="22"/>
      <c r="AF40" s="8"/>
      <c r="AG40" s="50"/>
      <c r="AH40" s="9"/>
      <c r="AI40" s="22"/>
      <c r="AJ40" s="8"/>
      <c r="AK40" s="50"/>
      <c r="AL40" s="9"/>
      <c r="AM40" s="22"/>
      <c r="AN40" s="8"/>
      <c r="AO40" s="50"/>
      <c r="AP40" s="9"/>
      <c r="AQ40" s="22"/>
      <c r="AR40" s="8"/>
      <c r="AS40" s="50"/>
      <c r="AT40" s="9"/>
      <c r="AU40" s="22"/>
      <c r="AV40" s="8"/>
      <c r="AW40" s="50"/>
      <c r="AX40" s="9"/>
      <c r="AY40" s="22"/>
      <c r="AZ40" s="8"/>
      <c r="BA40" s="50"/>
      <c r="BB40" s="9"/>
      <c r="BC40" s="22"/>
      <c r="BD40" s="8"/>
      <c r="BE40" s="50"/>
      <c r="BF40" s="9"/>
      <c r="BG40" s="22"/>
      <c r="BH40" s="8"/>
      <c r="BI40" s="50"/>
      <c r="BJ40" s="9"/>
      <c r="BK40" s="22"/>
      <c r="BL40" s="8"/>
      <c r="BM40" s="50"/>
      <c r="BN40" s="9"/>
      <c r="BO40" s="22"/>
      <c r="BP40" s="8"/>
      <c r="BQ40" s="50"/>
      <c r="BR40" s="9"/>
      <c r="BS40" s="22"/>
      <c r="BT40" s="8"/>
      <c r="BU40" s="50"/>
      <c r="BV40" s="9"/>
      <c r="BW40" s="22"/>
      <c r="BX40" s="8"/>
      <c r="BY40" s="50"/>
      <c r="BZ40" s="9"/>
      <c r="CA40" s="22"/>
      <c r="CB40" s="8"/>
      <c r="CC40" s="8"/>
      <c r="CD40" s="50"/>
      <c r="CE40" s="22"/>
      <c r="CF40" s="8"/>
      <c r="CG40" s="8"/>
      <c r="CH40" s="50"/>
      <c r="CI40" s="22"/>
      <c r="CJ40" s="8"/>
      <c r="CK40" s="8"/>
      <c r="CL40" s="50"/>
      <c r="FF40" s="44"/>
      <c r="HF40" s="23" t="str" cm="1">
        <f t="array" aca="1" ref="HF40" ca="1">IFERROR(IF(HI40="","",TEXT(DAY(HH40)&amp;"/"&amp;MONTH(INDIRECT("HG"&amp;HL40))&amp;"/"&amp;YEAR(INDIRECT("HG"&amp;HL40))+0,"DD/MM/YYYY"))+0,"")</f>
        <v/>
      </c>
      <c r="HG40" s="44">
        <f>+EDATE(HG3,1)</f>
        <v>45992</v>
      </c>
      <c r="HL40" s="1">
        <f t="shared" si="22"/>
        <v>40</v>
      </c>
    </row>
    <row r="41" spans="1:220" ht="15" x14ac:dyDescent="0.25">
      <c r="D41" s="59"/>
      <c r="E41" s="25"/>
      <c r="F41" s="25"/>
      <c r="G41" s="106"/>
      <c r="H41" s="7">
        <f t="shared" si="23"/>
        <v>39</v>
      </c>
      <c r="I41" s="1" t="s">
        <v>70</v>
      </c>
      <c r="J41" s="3">
        <v>6</v>
      </c>
      <c r="K41" s="3">
        <v>6</v>
      </c>
      <c r="L41" s="1" t="s">
        <v>6</v>
      </c>
      <c r="M41" s="1" t="s">
        <v>12</v>
      </c>
      <c r="N41" s="14"/>
      <c r="O41" s="22"/>
      <c r="P41" s="8"/>
      <c r="Q41" s="50"/>
      <c r="R41" s="9"/>
      <c r="S41" s="22">
        <v>6</v>
      </c>
      <c r="T41" s="8">
        <v>715843.25000000012</v>
      </c>
      <c r="U41" s="50"/>
      <c r="V41" s="25" t="s">
        <v>48</v>
      </c>
      <c r="W41" s="22">
        <v>23</v>
      </c>
      <c r="X41" s="8">
        <v>465547.5</v>
      </c>
      <c r="Y41" s="50"/>
      <c r="Z41" s="9" t="s">
        <v>48</v>
      </c>
      <c r="AA41" s="22"/>
      <c r="AB41" s="8"/>
      <c r="AC41" s="50"/>
      <c r="AD41" s="9"/>
      <c r="AE41" s="22"/>
      <c r="AF41" s="8"/>
      <c r="AG41" s="50"/>
      <c r="AH41" s="9"/>
      <c r="AI41" s="22"/>
      <c r="AJ41" s="8"/>
      <c r="AK41" s="50"/>
      <c r="AL41" s="9"/>
      <c r="AM41" s="22"/>
      <c r="AN41" s="8"/>
      <c r="AO41" s="50"/>
      <c r="AP41" s="9"/>
      <c r="AQ41" s="22"/>
      <c r="AR41" s="8"/>
      <c r="AS41" s="50"/>
      <c r="AT41" s="9"/>
      <c r="AU41" s="22"/>
      <c r="AV41" s="8"/>
      <c r="AW41" s="50"/>
      <c r="AX41" s="9"/>
      <c r="AY41" s="22"/>
      <c r="AZ41" s="8"/>
      <c r="BA41" s="50"/>
      <c r="BB41" s="9"/>
      <c r="BC41" s="22"/>
      <c r="BD41" s="8"/>
      <c r="BE41" s="50"/>
      <c r="BF41" s="9"/>
      <c r="BG41" s="22"/>
      <c r="BH41" s="8"/>
      <c r="BI41" s="50"/>
      <c r="BJ41" s="9"/>
      <c r="BK41" s="22"/>
      <c r="BL41" s="8"/>
      <c r="BM41" s="50"/>
      <c r="BN41" s="9"/>
      <c r="BO41" s="22"/>
      <c r="BP41" s="8"/>
      <c r="BQ41" s="50"/>
      <c r="BR41" s="9"/>
      <c r="BS41" s="22"/>
      <c r="BT41" s="8"/>
      <c r="BU41" s="50"/>
      <c r="BV41" s="9"/>
      <c r="BW41" s="22"/>
      <c r="BX41" s="8"/>
      <c r="BY41" s="50"/>
      <c r="BZ41" s="9"/>
      <c r="CA41" s="22"/>
      <c r="CB41" s="8"/>
      <c r="CC41" s="8"/>
      <c r="CD41" s="50"/>
      <c r="CE41" s="22"/>
      <c r="CF41" s="8"/>
      <c r="CG41" s="8"/>
      <c r="CH41" s="50"/>
      <c r="CI41" s="22"/>
      <c r="CJ41" s="8"/>
      <c r="CK41" s="8"/>
      <c r="CL41" s="50"/>
      <c r="FF41" s="44"/>
      <c r="HF41" s="23" cm="1">
        <f t="array" aca="1" ref="HF41" ca="1">IFERROR(IF(HI41="","",TEXT(DAY(HH41)&amp;"/"&amp;MONTH(INDIRECT("HG"&amp;HL41))&amp;"/"&amp;YEAR(INDIRECT("HG"&amp;HL41))+0,"DD/MM/YYYY"))+0,"")</f>
        <v>45992</v>
      </c>
      <c r="HG41" s="1" t="str" cm="1">
        <f t="array" aca="1" ref="HG41:HK72" ca="1">IFERROR(
 _xlfn.LET(
  _xlpm.tabla,$I$3:$BB$43,
  _xlpm.cab,$O$2:$BB$2,
  _xlpm.base,COLUMN($O$2)-COLUMN($I$2)+1,
  _xlpm.k,MATCH(HG40,_xlpm.cab,0),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Movistar</v>
      </c>
      <c r="HH41" s="1">
        <f ca="1"/>
        <v>1</v>
      </c>
      <c r="HI41" s="4">
        <f ca="1"/>
        <v>16388.04</v>
      </c>
      <c r="HJ41" s="1" t="str">
        <f ca="1"/>
        <v/>
      </c>
      <c r="HK41" s="1" t="str">
        <f ca="1"/>
        <v>SI</v>
      </c>
      <c r="HL41" s="1">
        <f t="shared" ca="1" si="22"/>
        <v>40</v>
      </c>
    </row>
    <row r="42" spans="1:220" ht="15" x14ac:dyDescent="0.25">
      <c r="B42" s="42"/>
      <c r="C42" s="8">
        <v>323910</v>
      </c>
      <c r="D42" s="59"/>
      <c r="E42" s="25"/>
      <c r="F42" s="25"/>
      <c r="G42" s="106"/>
      <c r="H42" s="7">
        <f t="shared" si="23"/>
        <v>40</v>
      </c>
      <c r="I42" s="1" t="s">
        <v>69</v>
      </c>
      <c r="J42" s="3">
        <v>6</v>
      </c>
      <c r="K42" s="3">
        <v>6</v>
      </c>
      <c r="L42" s="1" t="s">
        <v>6</v>
      </c>
      <c r="M42" s="1" t="s">
        <v>12</v>
      </c>
      <c r="N42" s="14"/>
      <c r="O42" s="22"/>
      <c r="P42" s="8"/>
      <c r="Q42" s="50"/>
      <c r="R42" s="9"/>
      <c r="S42" s="22">
        <v>16</v>
      </c>
      <c r="T42" s="8">
        <v>2219182.6</v>
      </c>
      <c r="U42" s="50"/>
      <c r="V42" s="25" t="s">
        <v>48</v>
      </c>
      <c r="W42" s="22"/>
      <c r="X42" s="8"/>
      <c r="Y42" s="50"/>
      <c r="Z42" s="9"/>
      <c r="AA42" s="22"/>
      <c r="AB42" s="8"/>
      <c r="AC42" s="50"/>
      <c r="AD42" s="9"/>
      <c r="AE42" s="22"/>
      <c r="AF42" s="8"/>
      <c r="AG42" s="50"/>
      <c r="AH42" s="9"/>
      <c r="AI42" s="22"/>
      <c r="AJ42" s="8"/>
      <c r="AK42" s="50"/>
      <c r="AL42" s="9"/>
      <c r="AM42" s="22"/>
      <c r="AN42" s="8"/>
      <c r="AO42" s="50"/>
      <c r="AP42" s="9"/>
      <c r="AQ42" s="22"/>
      <c r="AR42" s="8"/>
      <c r="AS42" s="50"/>
      <c r="AT42" s="9"/>
      <c r="AU42" s="22"/>
      <c r="AV42" s="8"/>
      <c r="AW42" s="50"/>
      <c r="AX42" s="9"/>
      <c r="AY42" s="22"/>
      <c r="AZ42" s="8"/>
      <c r="BA42" s="50"/>
      <c r="BB42" s="9"/>
      <c r="BC42" s="22"/>
      <c r="BD42" s="8"/>
      <c r="BE42" s="50"/>
      <c r="BF42" s="9"/>
      <c r="BG42" s="22"/>
      <c r="BH42" s="8"/>
      <c r="BI42" s="50"/>
      <c r="BJ42" s="9"/>
      <c r="BK42" s="22"/>
      <c r="BL42" s="8"/>
      <c r="BM42" s="50"/>
      <c r="BN42" s="9"/>
      <c r="BO42" s="22"/>
      <c r="BP42" s="8"/>
      <c r="BQ42" s="50"/>
      <c r="BR42" s="9"/>
      <c r="BS42" s="22"/>
      <c r="BT42" s="8"/>
      <c r="BU42" s="50"/>
      <c r="BV42" s="9"/>
      <c r="BW42" s="22"/>
      <c r="BX42" s="8"/>
      <c r="BY42" s="50"/>
      <c r="BZ42" s="9"/>
      <c r="CA42" s="22"/>
      <c r="CB42" s="8"/>
      <c r="CC42" s="8"/>
      <c r="CD42" s="50"/>
      <c r="CE42" s="22"/>
      <c r="CF42" s="8"/>
      <c r="CG42" s="8"/>
      <c r="CH42" s="50"/>
      <c r="CI42" s="22"/>
      <c r="CJ42" s="8"/>
      <c r="CK42" s="8"/>
      <c r="CL42" s="50"/>
      <c r="FF42" s="44"/>
      <c r="HF42" s="23" cm="1">
        <f t="array" aca="1" ref="HF42" ca="1">IFERROR(IF(HI42="","",TEXT(DAY(HH42)&amp;"/"&amp;MONTH(INDIRECT("HG"&amp;HL42))&amp;"/"&amp;YEAR(INDIRECT("HG"&amp;HL42))+0,"DD/MM/YYYY"))+0,"")</f>
        <v>45993</v>
      </c>
      <c r="HG42" s="1" t="str">
        <f ca="1"/>
        <v>Aseg. Motovehicular</v>
      </c>
      <c r="HH42" s="1">
        <f ca="1"/>
        <v>2</v>
      </c>
      <c r="HI42" s="4">
        <f ca="1"/>
        <v>112300.02</v>
      </c>
      <c r="HJ42" s="1" t="str">
        <f ca="1"/>
        <v/>
      </c>
      <c r="HK42" s="1" t="str">
        <f ca="1"/>
        <v>SI</v>
      </c>
      <c r="HL42" s="1">
        <f t="shared" ca="1" si="22"/>
        <v>40</v>
      </c>
    </row>
    <row r="43" spans="1:220" ht="15.75" thickBot="1" x14ac:dyDescent="0.3">
      <c r="B43" s="42"/>
      <c r="C43" s="8"/>
      <c r="D43" s="38"/>
      <c r="E43" s="25"/>
      <c r="F43" s="25" t="str">
        <f t="shared" ca="1" si="19"/>
        <v/>
      </c>
      <c r="G43" s="106" t="str">
        <f t="shared" ref="G43:G71" si="81">IF(A43="","",IFERROR(
  HYPERLINK(
    "#"&amp;ADDRESS(
          MATCH(A43, $I:$I, 0),
          COLUMN($H$1)-1 + MATCH($A$2, $H$2:$CF$2, 0) + 2
        ),
    "Ir"
  ),
  ""
))</f>
        <v/>
      </c>
      <c r="H43" s="10">
        <f>+H42+1</f>
        <v>41</v>
      </c>
      <c r="I43" s="15" t="s">
        <v>79</v>
      </c>
      <c r="J43" s="12"/>
      <c r="K43" s="15"/>
      <c r="L43" s="15"/>
      <c r="M43" s="15"/>
      <c r="N43" s="16"/>
      <c r="O43" s="30">
        <v>23</v>
      </c>
      <c r="P43" s="11">
        <v>800000</v>
      </c>
      <c r="Q43" s="51"/>
      <c r="R43" s="13" t="s">
        <v>48</v>
      </c>
      <c r="S43" s="30"/>
      <c r="T43" s="11"/>
      <c r="U43" s="51"/>
      <c r="V43" s="13"/>
      <c r="W43" s="30">
        <v>29</v>
      </c>
      <c r="X43" s="11">
        <v>1014734.79</v>
      </c>
      <c r="Y43" s="51"/>
      <c r="Z43" s="13"/>
      <c r="AA43" s="30"/>
      <c r="AB43" s="11"/>
      <c r="AC43" s="51"/>
      <c r="AD43" s="13"/>
      <c r="AE43" s="30"/>
      <c r="AF43" s="11"/>
      <c r="AG43" s="51"/>
      <c r="AH43" s="13"/>
      <c r="AI43" s="30"/>
      <c r="AJ43" s="11"/>
      <c r="AK43" s="51"/>
      <c r="AL43" s="13"/>
      <c r="AM43" s="30"/>
      <c r="AN43" s="11"/>
      <c r="AO43" s="51"/>
      <c r="AP43" s="13"/>
      <c r="AQ43" s="30"/>
      <c r="AR43" s="11"/>
      <c r="AS43" s="51"/>
      <c r="AT43" s="13"/>
      <c r="AU43" s="30"/>
      <c r="AV43" s="11"/>
      <c r="AW43" s="51"/>
      <c r="AX43" s="13"/>
      <c r="AY43" s="30"/>
      <c r="AZ43" s="11"/>
      <c r="BA43" s="51"/>
      <c r="BB43" s="13"/>
      <c r="BC43" s="30"/>
      <c r="BD43" s="11"/>
      <c r="BE43" s="51"/>
      <c r="BF43" s="13"/>
      <c r="BG43" s="30"/>
      <c r="BH43" s="11"/>
      <c r="BI43" s="51"/>
      <c r="BJ43" s="13"/>
      <c r="BK43" s="30"/>
      <c r="BL43" s="11"/>
      <c r="BM43" s="51"/>
      <c r="BN43" s="13"/>
      <c r="BO43" s="30"/>
      <c r="BP43" s="11"/>
      <c r="BQ43" s="51"/>
      <c r="BR43" s="13"/>
      <c r="BS43" s="30"/>
      <c r="BT43" s="11"/>
      <c r="BU43" s="51"/>
      <c r="BV43" s="13"/>
      <c r="BW43" s="30"/>
      <c r="BX43" s="11"/>
      <c r="BY43" s="51"/>
      <c r="BZ43" s="13"/>
      <c r="CA43" s="30"/>
      <c r="CB43" s="11"/>
      <c r="CC43" s="11"/>
      <c r="CD43" s="51"/>
      <c r="CE43" s="30"/>
      <c r="CF43" s="11"/>
      <c r="CG43" s="11"/>
      <c r="CH43" s="51"/>
      <c r="CI43" s="30"/>
      <c r="CJ43" s="11"/>
      <c r="CK43" s="11"/>
      <c r="CL43" s="51"/>
      <c r="FF43" s="44">
        <f>+EDATE(FF37,1)</f>
        <v>46966</v>
      </c>
      <c r="HF43" s="23" cm="1">
        <f t="array" aca="1" ref="HF43" ca="1">IFERROR(IF(HI43="","",TEXT(DAY(HH43)&amp;"/"&amp;MONTH(INDIRECT("HG"&amp;HL43))&amp;"/"&amp;YEAR(INDIRECT("HG"&amp;HL43))+0,"DD/MM/YYYY"))+0,"")</f>
        <v>45993</v>
      </c>
      <c r="HG43" s="1" t="str">
        <f ca="1"/>
        <v>Personal Flow</v>
      </c>
      <c r="HH43" s="1">
        <f ca="1"/>
        <v>2</v>
      </c>
      <c r="HI43" s="4">
        <f ca="1"/>
        <v>71670</v>
      </c>
      <c r="HJ43" s="1" t="str">
        <f ca="1"/>
        <v/>
      </c>
      <c r="HK43" s="1" t="str">
        <f ca="1"/>
        <v>SI</v>
      </c>
      <c r="HL43" s="1">
        <f t="shared" ca="1" si="22"/>
        <v>40</v>
      </c>
    </row>
    <row r="44" spans="1:220" s="5" customFormat="1" ht="15" x14ac:dyDescent="0.25">
      <c r="A44" s="1"/>
      <c r="B44" s="1"/>
      <c r="C44" s="4">
        <f>+C42*2</f>
        <v>647820</v>
      </c>
      <c r="D44" s="39"/>
      <c r="E44" s="26"/>
      <c r="F44" s="25" t="str">
        <f t="shared" ca="1" si="19"/>
        <v/>
      </c>
      <c r="G44" s="106" t="str">
        <f t="shared" si="81"/>
        <v/>
      </c>
      <c r="H44" s="2"/>
      <c r="J44" s="2"/>
      <c r="O44" s="31"/>
      <c r="P44" s="6">
        <f>+SUM(P3:P43)</f>
        <v>14913937.969999999</v>
      </c>
      <c r="Q44" s="6"/>
      <c r="R44" s="6"/>
      <c r="S44" s="31"/>
      <c r="T44" s="6">
        <f>+SUM(T3:T43)</f>
        <v>19178154.360000003</v>
      </c>
      <c r="U44" s="6"/>
      <c r="V44" s="6"/>
      <c r="W44" s="31"/>
      <c r="X44" s="6">
        <f>+SUM(X3:X43)</f>
        <v>20943052.460000001</v>
      </c>
      <c r="Y44" s="6"/>
      <c r="Z44" s="6"/>
      <c r="AA44" s="31"/>
      <c r="AB44" s="6">
        <f>+SUM(AB3:AB43)</f>
        <v>14737263.810000001</v>
      </c>
      <c r="AC44" s="6"/>
      <c r="AD44" s="6"/>
      <c r="AE44" s="31"/>
      <c r="AF44" s="6">
        <f>+SUM(AF3:AF43)</f>
        <v>19010004.850000001</v>
      </c>
      <c r="AG44" s="6"/>
      <c r="AH44" s="6"/>
      <c r="AI44" s="4"/>
      <c r="AJ44" s="6">
        <f>+SUM(AJ3:AJ43)</f>
        <v>13021767.09</v>
      </c>
      <c r="AK44" s="6"/>
      <c r="AL44" s="6"/>
      <c r="AM44" s="4"/>
      <c r="AN44" s="6">
        <f>+SUM(AN3:AN43)</f>
        <v>13030966.77</v>
      </c>
      <c r="AO44" s="6"/>
      <c r="AP44" s="6"/>
      <c r="AQ44" s="4"/>
      <c r="AR44" s="6">
        <f>+SUM(AR3:AR43)</f>
        <v>12891512.16</v>
      </c>
      <c r="AS44" s="6"/>
      <c r="AT44" s="6"/>
      <c r="AU44" s="4"/>
      <c r="AV44" s="4"/>
      <c r="AW44" s="6"/>
      <c r="AX44" s="6"/>
      <c r="AY44" s="4"/>
      <c r="AZ44" s="4"/>
      <c r="BA44" s="6"/>
      <c r="BB44" s="6"/>
      <c r="BC44" s="4"/>
      <c r="BD44" s="4"/>
      <c r="BE44" s="6"/>
      <c r="BF44" s="6"/>
      <c r="BG44" s="4"/>
      <c r="BH44" s="4"/>
      <c r="BI44" s="6"/>
      <c r="BJ44" s="6"/>
      <c r="BK44" s="4"/>
      <c r="BL44" s="4"/>
      <c r="BM44" s="6"/>
      <c r="BN44" s="6"/>
      <c r="BO44" s="4"/>
      <c r="BP44" s="4"/>
      <c r="BQ44" s="6"/>
      <c r="BR44" s="6"/>
      <c r="BS44" s="4"/>
      <c r="BT44" s="4"/>
      <c r="BU44" s="6"/>
      <c r="BV44" s="6"/>
      <c r="BW44" s="4"/>
      <c r="BX44" s="4"/>
      <c r="BY44" s="4"/>
      <c r="BZ44" s="6"/>
      <c r="CA44" s="4"/>
      <c r="CB44" s="4"/>
      <c r="CC44" s="4"/>
      <c r="CD44" s="6"/>
      <c r="CE44" s="4"/>
      <c r="CF44" s="4"/>
      <c r="CG44" s="4"/>
      <c r="CH44" s="6"/>
      <c r="CI44" s="4"/>
      <c r="CJ44" s="4"/>
      <c r="CK44" s="4"/>
      <c r="CL44" s="6"/>
      <c r="FF44" s="44">
        <f t="shared" si="24"/>
        <v>46997</v>
      </c>
      <c r="HF44" s="23" cm="1">
        <f t="array" aca="1" ref="HF44" ca="1">IFERROR(IF(HI44="","",TEXT(DAY(HH44)&amp;"/"&amp;MONTH(INDIRECT("HG"&amp;HL44))&amp;"/"&amp;YEAR(INDIRECT("HG"&amp;HL44))+0,"DD/MM/YYYY"))+0,"")</f>
        <v>45994</v>
      </c>
      <c r="HG44" s="1" t="str">
        <f ca="1"/>
        <v>Tarjeta Galicia - VISA</v>
      </c>
      <c r="HH44" s="5">
        <f ca="1"/>
        <v>3</v>
      </c>
      <c r="HI44" s="6">
        <f ca="1"/>
        <v>1384504.29</v>
      </c>
      <c r="HJ44" s="5">
        <f ca="1"/>
        <v>629.66999999999996</v>
      </c>
      <c r="HK44" s="5" t="str">
        <f ca="1"/>
        <v>SI</v>
      </c>
      <c r="HL44" s="1">
        <f t="shared" ca="1" si="22"/>
        <v>40</v>
      </c>
    </row>
    <row r="45" spans="1:220" ht="15" x14ac:dyDescent="0.25">
      <c r="C45" s="4"/>
      <c r="D45" s="39"/>
      <c r="E45" s="26"/>
      <c r="F45" s="25" t="str">
        <f t="shared" ca="1" si="19"/>
        <v/>
      </c>
      <c r="G45" s="106" t="str">
        <f t="shared" si="81"/>
        <v/>
      </c>
      <c r="S45" s="32"/>
      <c r="T45" s="4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H45" s="4"/>
      <c r="CL45" s="4"/>
      <c r="FF45" s="44">
        <f t="shared" si="24"/>
        <v>47027</v>
      </c>
      <c r="HF45" s="23" cm="1">
        <f t="array" aca="1" ref="HF45" ca="1">IFERROR(IF(HI45="","",TEXT(DAY(HH45)&amp;"/"&amp;MONTH(INDIRECT("HG"&amp;HL45))&amp;"/"&amp;YEAR(INDIRECT("HG"&amp;HL45))+0,"DD/MM/YYYY"))+0,"")</f>
        <v>45996</v>
      </c>
      <c r="HG45" s="1" t="str">
        <f ca="1"/>
        <v>Tarjeta Santander Rio - VISA</v>
      </c>
      <c r="HH45" s="1">
        <f ca="1"/>
        <v>5</v>
      </c>
      <c r="HI45" s="4">
        <f ca="1"/>
        <v>3694069.9300000006</v>
      </c>
      <c r="HJ45" s="1" t="str">
        <f ca="1"/>
        <v/>
      </c>
      <c r="HK45" s="1" t="str">
        <f ca="1"/>
        <v/>
      </c>
      <c r="HL45" s="1">
        <f t="shared" ca="1" si="22"/>
        <v>40</v>
      </c>
    </row>
    <row r="46" spans="1:220" ht="15" x14ac:dyDescent="0.25">
      <c r="C46" s="4"/>
      <c r="D46" s="39"/>
      <c r="E46" s="26"/>
      <c r="F46" s="25" t="str">
        <f t="shared" ca="1" si="19"/>
        <v/>
      </c>
      <c r="G46" s="106" t="str">
        <f t="shared" si="81"/>
        <v/>
      </c>
      <c r="S46" s="32"/>
      <c r="T46" s="4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FF46" s="44">
        <f t="shared" si="24"/>
        <v>47058</v>
      </c>
      <c r="HF46" s="23" cm="1">
        <f t="array" aca="1" ref="HF46" ca="1">IFERROR(IF(HI46="","",TEXT(DAY(HH46)&amp;"/"&amp;MONTH(INDIRECT("HG"&amp;HL46))&amp;"/"&amp;YEAR(INDIRECT("HG"&amp;HL46))+0,"DD/MM/YYYY"))+0,"")</f>
        <v>45998</v>
      </c>
      <c r="HG46" s="1" t="str">
        <f ca="1"/>
        <v>Tarjeta ICBC</v>
      </c>
      <c r="HH46" s="1">
        <f ca="1"/>
        <v>7</v>
      </c>
      <c r="HI46" s="4">
        <f ca="1"/>
        <v>40577.730000000003</v>
      </c>
      <c r="HJ46" s="1" t="str">
        <f ca="1"/>
        <v/>
      </c>
      <c r="HK46" s="1" t="str">
        <f ca="1"/>
        <v>SI</v>
      </c>
      <c r="HL46" s="1">
        <f t="shared" ca="1" si="22"/>
        <v>40</v>
      </c>
    </row>
    <row r="47" spans="1:220" ht="15" x14ac:dyDescent="0.25">
      <c r="C47" s="93"/>
      <c r="D47" s="40"/>
      <c r="F47" s="25" t="str">
        <f t="shared" ca="1" si="19"/>
        <v/>
      </c>
      <c r="G47" s="106" t="str">
        <f t="shared" si="81"/>
        <v/>
      </c>
      <c r="I47" s="1">
        <v>705375</v>
      </c>
      <c r="K47" s="1">
        <v>13</v>
      </c>
      <c r="L47" s="1" t="s">
        <v>64</v>
      </c>
      <c r="S47" s="32"/>
      <c r="T47" s="4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8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H47" s="4"/>
      <c r="CL47" s="4"/>
      <c r="FF47" s="44">
        <f t="shared" si="24"/>
        <v>47088</v>
      </c>
      <c r="HF47" s="23" cm="1">
        <f t="array" aca="1" ref="HF47" ca="1">IFERROR(IF(HI47="","",TEXT(DAY(HH47)&amp;"/"&amp;MONTH(INDIRECT("HG"&amp;HL47))&amp;"/"&amp;YEAR(INDIRECT("HG"&amp;HL47))+0,"DD/MM/YYYY"))+0,"")</f>
        <v>45998</v>
      </c>
      <c r="HG47" s="1" t="str">
        <f ca="1"/>
        <v>Autonomo</v>
      </c>
      <c r="HH47" s="1">
        <f ca="1"/>
        <v>7</v>
      </c>
      <c r="HI47" s="4">
        <f ca="1"/>
        <v>80540.72</v>
      </c>
      <c r="HJ47" s="1" t="str">
        <f ca="1"/>
        <v/>
      </c>
      <c r="HK47" s="1" t="str">
        <f ca="1"/>
        <v>SI</v>
      </c>
      <c r="HL47" s="1">
        <f t="shared" ca="1" si="22"/>
        <v>40</v>
      </c>
    </row>
    <row r="48" spans="1:220" ht="15" x14ac:dyDescent="0.25">
      <c r="D48" s="1"/>
      <c r="F48" s="25" t="str">
        <f t="shared" ca="1" si="19"/>
        <v/>
      </c>
      <c r="G48" s="106" t="str">
        <f t="shared" si="81"/>
        <v/>
      </c>
      <c r="N48" s="5" t="s">
        <v>24</v>
      </c>
      <c r="O48" s="32"/>
      <c r="P48" s="6">
        <v>1403</v>
      </c>
      <c r="Q48" s="6"/>
      <c r="R48" s="4"/>
      <c r="S48" s="32"/>
      <c r="T48" s="4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8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FF48" s="44">
        <f t="shared" si="24"/>
        <v>47119</v>
      </c>
      <c r="HF48" s="23" cm="1">
        <f t="array" aca="1" ref="HF48" ca="1">IFERROR(IF(HI48="","",TEXT(DAY(HH48)&amp;"/"&amp;MONTH(INDIRECT("HG"&amp;HL48))&amp;"/"&amp;YEAR(INDIRECT("HG"&amp;HL48))+0,"DD/MM/YYYY"))+0,"")</f>
        <v>46001</v>
      </c>
      <c r="HG48" s="1" t="str">
        <f ca="1"/>
        <v>Alquiler Distribuidora</v>
      </c>
      <c r="HH48" s="1">
        <f ca="1"/>
        <v>10</v>
      </c>
      <c r="HI48" s="4">
        <f ca="1"/>
        <v>500000</v>
      </c>
      <c r="HJ48" s="1" t="str">
        <f ca="1"/>
        <v/>
      </c>
      <c r="HK48" s="1" t="str">
        <f ca="1"/>
        <v>SI</v>
      </c>
      <c r="HL48" s="1">
        <f t="shared" ca="1" si="22"/>
        <v>40</v>
      </c>
    </row>
    <row r="49" spans="4:220" ht="15" x14ac:dyDescent="0.25">
      <c r="D49" s="40"/>
      <c r="F49" s="25" t="str">
        <f t="shared" ca="1" si="19"/>
        <v/>
      </c>
      <c r="G49" s="106" t="str">
        <f t="shared" si="81"/>
        <v/>
      </c>
      <c r="O49" s="32"/>
      <c r="S49" s="32"/>
      <c r="T49" s="4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H49" s="4"/>
      <c r="CL49" s="4"/>
      <c r="HF49" s="23" cm="1">
        <f t="array" aca="1" ref="HF49" ca="1">IFERROR(IF(HI49="","",TEXT(DAY(HH49)&amp;"/"&amp;MONTH(INDIRECT("HG"&amp;HL49))&amp;"/"&amp;YEAR(INDIRECT("HG"&amp;HL49))+0,"DD/MM/YYYY"))+0,"")</f>
        <v>46001</v>
      </c>
      <c r="HG49" s="1" t="str">
        <f ca="1"/>
        <v>Alquiler Casa</v>
      </c>
      <c r="HH49" s="1">
        <f ca="1"/>
        <v>10</v>
      </c>
      <c r="HI49" s="4">
        <f ca="1"/>
        <v>250000</v>
      </c>
      <c r="HJ49" s="1" t="str">
        <f ca="1"/>
        <v/>
      </c>
      <c r="HK49" s="1" t="str">
        <f ca="1"/>
        <v>SI</v>
      </c>
      <c r="HL49" s="1">
        <f t="shared" ca="1" si="22"/>
        <v>40</v>
      </c>
    </row>
    <row r="50" spans="4:220" ht="15" x14ac:dyDescent="0.25">
      <c r="D50" s="40"/>
      <c r="F50" s="25" t="str">
        <f t="shared" ca="1" si="19"/>
        <v/>
      </c>
      <c r="G50" s="106" t="str">
        <f t="shared" si="81"/>
        <v/>
      </c>
      <c r="I50" s="37"/>
      <c r="J50" s="37"/>
      <c r="K50" s="37"/>
      <c r="O50" s="32"/>
      <c r="P50" s="35" t="s">
        <v>45</v>
      </c>
      <c r="Q50" s="35" t="s">
        <v>46</v>
      </c>
      <c r="R50" s="4"/>
      <c r="S50" s="32"/>
      <c r="T50" s="4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H50" s="4"/>
      <c r="CL50" s="4"/>
      <c r="HF50" s="23" cm="1">
        <f t="array" aca="1" ref="HF50" ca="1">IFERROR(IF(HI50="","",TEXT(DAY(HH50)&amp;"/"&amp;MONTH(INDIRECT("HG"&amp;HL50))&amp;"/"&amp;YEAR(INDIRECT("HG"&amp;HL50))+0,"DD/MM/YYYY"))+0,"")</f>
        <v>46001</v>
      </c>
      <c r="HG50" s="1" t="str">
        <f ca="1"/>
        <v>Mel diseño grafico</v>
      </c>
      <c r="HH50" s="1">
        <f ca="1"/>
        <v>10</v>
      </c>
      <c r="HI50" s="4">
        <f ca="1"/>
        <v>450000</v>
      </c>
      <c r="HJ50" s="1" t="str">
        <f ca="1"/>
        <v/>
      </c>
      <c r="HK50" s="1" t="str">
        <f ca="1"/>
        <v>SI</v>
      </c>
      <c r="HL50" s="1">
        <f t="shared" ca="1" si="22"/>
        <v>40</v>
      </c>
    </row>
    <row r="51" spans="4:220" ht="15" x14ac:dyDescent="0.25">
      <c r="D51" s="37"/>
      <c r="F51" s="25" t="str">
        <f t="shared" ca="1" si="19"/>
        <v/>
      </c>
      <c r="G51" s="106" t="str">
        <f t="shared" si="81"/>
        <v/>
      </c>
      <c r="H51" s="3" t="s">
        <v>71</v>
      </c>
      <c r="I51" s="37"/>
      <c r="J51" s="37"/>
      <c r="K51" s="37"/>
      <c r="M51" s="33"/>
      <c r="O51" s="32"/>
      <c r="P51" s="36"/>
      <c r="Q51" s="34">
        <v>5877.57</v>
      </c>
      <c r="S51" s="33"/>
      <c r="T51" s="4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H51" s="4"/>
      <c r="CL51" s="4"/>
      <c r="HF51" s="23" cm="1">
        <f t="array" aca="1" ref="HF51" ca="1">IFERROR(IF(HI51="","",TEXT(DAY(HH51)&amp;"/"&amp;MONTH(INDIRECT("HG"&amp;HL51))&amp;"/"&amp;YEAR(INDIRECT("HG"&amp;HL51))+0,"DD/MM/YYYY"))+0,"")</f>
        <v>46001</v>
      </c>
      <c r="HG51" s="1" t="str">
        <f ca="1"/>
        <v>Contador</v>
      </c>
      <c r="HH51" s="1">
        <f ca="1"/>
        <v>10</v>
      </c>
      <c r="HI51" s="4">
        <f ca="1"/>
        <v>150000</v>
      </c>
      <c r="HJ51" s="1" t="str">
        <f ca="1"/>
        <v/>
      </c>
      <c r="HK51" s="1" t="str">
        <f ca="1"/>
        <v>SI</v>
      </c>
      <c r="HL51" s="1">
        <f t="shared" ca="1" si="22"/>
        <v>40</v>
      </c>
    </row>
    <row r="52" spans="4:220" ht="15" x14ac:dyDescent="0.25">
      <c r="D52" s="37"/>
      <c r="F52" s="25" t="str">
        <f t="shared" ca="1" si="19"/>
        <v/>
      </c>
      <c r="G52" s="106" t="str">
        <f t="shared" si="81"/>
        <v/>
      </c>
      <c r="H52" s="3" t="s">
        <v>72</v>
      </c>
      <c r="I52" s="37">
        <v>9793000</v>
      </c>
      <c r="J52" s="37"/>
      <c r="K52" s="37"/>
      <c r="M52" s="33"/>
      <c r="N52" s="1" t="s">
        <v>115</v>
      </c>
      <c r="O52" s="32"/>
      <c r="P52" s="4"/>
      <c r="Q52" s="4"/>
      <c r="R52" s="4"/>
      <c r="S52" s="33"/>
      <c r="T52" s="4"/>
      <c r="U52" s="32"/>
      <c r="V52" s="32"/>
      <c r="W52" s="32"/>
      <c r="X52" s="32"/>
      <c r="Y52" s="32"/>
      <c r="Z52" s="32"/>
      <c r="AA52" s="32"/>
      <c r="AB52" s="8">
        <v>1050000</v>
      </c>
      <c r="AC52" s="52">
        <v>192.43</v>
      </c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H52" s="4"/>
      <c r="CL52" s="4"/>
      <c r="HF52" s="23" cm="1">
        <f t="array" aca="1" ref="HF52" ca="1">IFERROR(IF(HI52="","",TEXT(DAY(HH52)&amp;"/"&amp;MONTH(INDIRECT("HG"&amp;HL52))&amp;"/"&amp;YEAR(INDIRECT("HG"&amp;HL52))+0,"DD/MM/YYYY"))+0,"")</f>
        <v>46001</v>
      </c>
      <c r="HG52" s="1" t="str">
        <f ca="1"/>
        <v>Cargas Sociales</v>
      </c>
      <c r="HH52" s="1">
        <f ca="1"/>
        <v>10</v>
      </c>
      <c r="HI52" s="4">
        <f ca="1"/>
        <v>775589.93</v>
      </c>
      <c r="HJ52" s="1" t="str">
        <f ca="1"/>
        <v/>
      </c>
      <c r="HK52" s="1" t="str">
        <f ca="1"/>
        <v>SI</v>
      </c>
      <c r="HL52" s="1">
        <f t="shared" ca="1" si="22"/>
        <v>40</v>
      </c>
    </row>
    <row r="53" spans="4:220" ht="15" x14ac:dyDescent="0.25">
      <c r="D53" s="37"/>
      <c r="F53" s="25" t="str">
        <f t="shared" ca="1" si="19"/>
        <v/>
      </c>
      <c r="G53" s="106" t="str">
        <f t="shared" si="81"/>
        <v/>
      </c>
      <c r="J53" s="37"/>
      <c r="K53" s="37"/>
      <c r="M53" s="33"/>
      <c r="O53" s="32"/>
      <c r="P53" s="4"/>
      <c r="Q53" s="6">
        <f>+P48*Q51</f>
        <v>8246230.71</v>
      </c>
      <c r="R53" s="4"/>
      <c r="S53" s="33"/>
      <c r="T53" s="4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H53" s="4"/>
      <c r="CL53" s="4"/>
      <c r="HF53" s="23" cm="1">
        <f t="array" aca="1" ref="HF53" ca="1">IFERROR(IF(HI53="","",TEXT(DAY(HH53)&amp;"/"&amp;MONTH(INDIRECT("HG"&amp;HL53))&amp;"/"&amp;YEAR(INDIRECT("HG"&amp;HL53))+0,"DD/MM/YYYY"))+0,"")</f>
        <v>46001</v>
      </c>
      <c r="HG53" s="1" t="str">
        <f ca="1"/>
        <v>Monotributo IVAN</v>
      </c>
      <c r="HH53" s="1">
        <f ca="1"/>
        <v>10</v>
      </c>
      <c r="HI53" s="4">
        <f ca="1"/>
        <v>45000</v>
      </c>
      <c r="HJ53" s="1" t="str">
        <f ca="1"/>
        <v/>
      </c>
      <c r="HK53" s="1" t="str">
        <f ca="1"/>
        <v/>
      </c>
      <c r="HL53" s="1">
        <f t="shared" ca="1" si="22"/>
        <v>40</v>
      </c>
    </row>
    <row r="54" spans="4:220" ht="15" x14ac:dyDescent="0.25">
      <c r="D54" s="37"/>
      <c r="F54" s="25" t="str">
        <f t="shared" ca="1" si="19"/>
        <v/>
      </c>
      <c r="G54" s="106" t="str">
        <f t="shared" si="81"/>
        <v/>
      </c>
      <c r="H54" s="3" t="s">
        <v>77</v>
      </c>
      <c r="I54" s="37">
        <f>83000+180000+350000</f>
        <v>613000</v>
      </c>
      <c r="J54" s="37"/>
      <c r="K54" s="37"/>
      <c r="M54" s="33"/>
      <c r="N54" s="33"/>
      <c r="O54" s="33"/>
      <c r="P54" s="33"/>
      <c r="Q54" s="33"/>
      <c r="R54" s="33"/>
      <c r="S54" s="33"/>
      <c r="T54" s="4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H54" s="4"/>
      <c r="CL54" s="4"/>
      <c r="HF54" s="23" cm="1">
        <f t="array" aca="1" ref="HF54" ca="1">IFERROR(IF(HI54="","",TEXT(DAY(HH54)&amp;"/"&amp;MONTH(INDIRECT("HG"&amp;HL54))&amp;"/"&amp;YEAR(INDIRECT("HG"&amp;HL54))+0,"DD/MM/YYYY"))+0,"")</f>
        <v>46001</v>
      </c>
      <c r="HG54" s="1" t="str">
        <f ca="1"/>
        <v>Monotributo Mayeski</v>
      </c>
      <c r="HH54" s="1">
        <f ca="1"/>
        <v>10</v>
      </c>
      <c r="HI54" s="4">
        <f ca="1"/>
        <v>45000</v>
      </c>
      <c r="HJ54" s="1" t="str">
        <f ca="1"/>
        <v/>
      </c>
      <c r="HK54" s="1" t="str">
        <f ca="1"/>
        <v/>
      </c>
      <c r="HL54" s="1">
        <f t="shared" ca="1" si="22"/>
        <v>40</v>
      </c>
    </row>
    <row r="55" spans="4:220" ht="15" x14ac:dyDescent="0.25">
      <c r="D55" s="37"/>
      <c r="F55" s="25" t="str">
        <f t="shared" ca="1" si="19"/>
        <v/>
      </c>
      <c r="G55" s="106" t="str">
        <f t="shared" si="81"/>
        <v/>
      </c>
      <c r="H55" s="3" t="s">
        <v>73</v>
      </c>
      <c r="I55" s="37">
        <v>2150000</v>
      </c>
      <c r="J55" s="37"/>
      <c r="K55" s="37"/>
      <c r="M55" s="33"/>
      <c r="N55" s="33"/>
      <c r="O55" s="33"/>
      <c r="P55" s="33"/>
      <c r="Q55" s="33"/>
      <c r="R55" s="33"/>
      <c r="S55" s="33"/>
      <c r="T55" s="4"/>
      <c r="U55" s="32"/>
      <c r="V55" s="32"/>
      <c r="W55" s="32"/>
      <c r="X55" s="32"/>
      <c r="Y55" s="32"/>
      <c r="Z55" s="32"/>
      <c r="AA55" s="32"/>
      <c r="AB55" s="48">
        <f>+AB52+AC55</f>
        <v>1338645</v>
      </c>
      <c r="AC55" s="8">
        <f>+AC52*1500</f>
        <v>288645</v>
      </c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H55" s="4"/>
      <c r="CL55" s="4"/>
      <c r="HF55" s="23" cm="1">
        <f t="array" aca="1" ref="HF55" ca="1">IFERROR(IF(HI55="","",TEXT(DAY(HH55)&amp;"/"&amp;MONTH(INDIRECT("HG"&amp;HL55))&amp;"/"&amp;YEAR(INDIRECT("HG"&amp;HL55))+0,"DD/MM/YYYY"))+0,"")</f>
        <v>46001</v>
      </c>
      <c r="HG55" s="1" t="str">
        <f ca="1"/>
        <v>Monotributo David</v>
      </c>
      <c r="HH55" s="1">
        <f ca="1"/>
        <v>10</v>
      </c>
      <c r="HI55" s="4">
        <f ca="1"/>
        <v>45000</v>
      </c>
      <c r="HJ55" s="1" t="str">
        <f ca="1"/>
        <v/>
      </c>
      <c r="HK55" s="1" t="str">
        <f ca="1"/>
        <v/>
      </c>
      <c r="HL55" s="1">
        <f t="shared" ca="1" si="22"/>
        <v>40</v>
      </c>
    </row>
    <row r="56" spans="4:220" ht="15" x14ac:dyDescent="0.25">
      <c r="D56" s="40"/>
      <c r="F56" s="25" t="str">
        <f t="shared" ca="1" si="19"/>
        <v/>
      </c>
      <c r="G56" s="106" t="str">
        <f t="shared" si="81"/>
        <v/>
      </c>
      <c r="H56" s="3" t="s">
        <v>74</v>
      </c>
      <c r="I56" s="37">
        <v>2000000</v>
      </c>
      <c r="M56" s="33"/>
      <c r="N56" s="33"/>
      <c r="O56" s="33"/>
      <c r="P56" s="33"/>
      <c r="Q56" s="33"/>
      <c r="R56" s="33"/>
      <c r="S56" s="33"/>
      <c r="T56" s="4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H56" s="6"/>
      <c r="CL56" s="6"/>
      <c r="HF56" s="23" cm="1">
        <f t="array" aca="1" ref="HF56" ca="1">IFERROR(IF(HI56="","",TEXT(DAY(HH56)&amp;"/"&amp;MONTH(INDIRECT("HG"&amp;HL56))&amp;"/"&amp;YEAR(INDIRECT("HG"&amp;HL56))+0,"DD/MM/YYYY"))+0,"")</f>
        <v>46003</v>
      </c>
      <c r="HG56" s="1" t="str">
        <f ca="1"/>
        <v>Tarjeta Santander Rio - AMEX</v>
      </c>
      <c r="HH56" s="1">
        <f ca="1"/>
        <v>12</v>
      </c>
      <c r="HI56" s="4">
        <f ca="1"/>
        <v>40749</v>
      </c>
      <c r="HJ56" s="1" t="str">
        <f ca="1"/>
        <v/>
      </c>
      <c r="HK56" s="1" t="str">
        <f ca="1"/>
        <v>SI</v>
      </c>
      <c r="HL56" s="1">
        <f t="shared" ca="1" si="22"/>
        <v>40</v>
      </c>
    </row>
    <row r="57" spans="4:220" ht="15" x14ac:dyDescent="0.25">
      <c r="D57" s="40"/>
      <c r="F57" s="25" t="str">
        <f t="shared" ca="1" si="19"/>
        <v/>
      </c>
      <c r="G57" s="106" t="str">
        <f t="shared" si="81"/>
        <v/>
      </c>
      <c r="H57" s="3" t="s">
        <v>75</v>
      </c>
      <c r="I57" s="37">
        <f ca="1">+SUM(C7:C13)</f>
        <v>1379206.91</v>
      </c>
      <c r="O57" s="32"/>
      <c r="P57" s="4"/>
      <c r="Q57" s="4"/>
      <c r="R57" s="4"/>
      <c r="S57" s="32"/>
      <c r="T57" s="4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H57" s="4"/>
      <c r="CL57" s="4"/>
      <c r="HF57" s="23" cm="1">
        <f t="array" aca="1" ref="HF57" ca="1">IFERROR(IF(HI57="","",TEXT(DAY(HH57)&amp;"/"&amp;MONTH(INDIRECT("HG"&amp;HL57))&amp;"/"&amp;YEAR(INDIRECT("HG"&amp;HL57))+0,"DD/MM/YYYY"))+0,"")</f>
        <v>46004</v>
      </c>
      <c r="HG57" s="1" t="str">
        <f ca="1"/>
        <v>Personal Flow</v>
      </c>
      <c r="HH57" s="1">
        <f ca="1"/>
        <v>13</v>
      </c>
      <c r="HI57" s="4">
        <f ca="1"/>
        <v>98566</v>
      </c>
      <c r="HJ57" s="1" t="str">
        <f ca="1"/>
        <v/>
      </c>
      <c r="HK57" s="1" t="str">
        <f ca="1"/>
        <v>SI</v>
      </c>
      <c r="HL57" s="1">
        <f t="shared" ca="1" si="22"/>
        <v>40</v>
      </c>
    </row>
    <row r="58" spans="4:220" ht="15" x14ac:dyDescent="0.25">
      <c r="D58" s="40"/>
      <c r="F58" s="25" t="str">
        <f t="shared" ca="1" si="19"/>
        <v/>
      </c>
      <c r="G58" s="106" t="str">
        <f t="shared" si="81"/>
        <v/>
      </c>
      <c r="H58" s="3" t="s">
        <v>76</v>
      </c>
      <c r="I58" s="37">
        <v>3076000</v>
      </c>
      <c r="O58" s="32"/>
      <c r="P58" s="4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H58" s="4"/>
      <c r="CL58" s="4"/>
      <c r="HF58" s="23" cm="1">
        <f t="array" aca="1" ref="HF58" ca="1">IFERROR(IF(HI58="","",TEXT(DAY(HH58)&amp;"/"&amp;MONTH(INDIRECT("HG"&amp;HL58))&amp;"/"&amp;YEAR(INDIRECT("HG"&amp;HL58))+0,"DD/MM/YYYY"))+0,"")</f>
        <v>46004</v>
      </c>
      <c r="HG58" s="1" t="str">
        <f ca="1"/>
        <v>Victoria Seguros</v>
      </c>
      <c r="HH58" s="1">
        <f ca="1"/>
        <v>13</v>
      </c>
      <c r="HI58" s="4">
        <f ca="1"/>
        <v>90346.85</v>
      </c>
      <c r="HJ58" s="1" t="str">
        <f ca="1"/>
        <v/>
      </c>
      <c r="HK58" s="1" t="str">
        <f ca="1"/>
        <v>SI</v>
      </c>
      <c r="HL58" s="1">
        <f t="shared" ca="1" si="22"/>
        <v>40</v>
      </c>
    </row>
    <row r="59" spans="4:220" ht="15" x14ac:dyDescent="0.25">
      <c r="D59" s="40"/>
      <c r="F59" s="25" t="str">
        <f t="shared" ca="1" si="19"/>
        <v/>
      </c>
      <c r="G59" s="106" t="str">
        <f t="shared" si="81"/>
        <v/>
      </c>
      <c r="I59" s="36">
        <f ca="1">+SUM(I54:I58)</f>
        <v>9218206.9100000001</v>
      </c>
      <c r="O59" s="32"/>
      <c r="P59" s="4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H59" s="4"/>
      <c r="CL59" s="4"/>
      <c r="HF59" s="23" cm="1">
        <f t="array" aca="1" ref="HF59" ca="1">IFERROR(IF(HI59="","",TEXT(DAY(HH59)&amp;"/"&amp;MONTH(INDIRECT("HG"&amp;HL59))&amp;"/"&amp;YEAR(INDIRECT("HG"&amp;HL59))+0,"DD/MM/YYYY"))+0,"")</f>
        <v>46005</v>
      </c>
      <c r="HG59" s="1" t="str">
        <f ca="1"/>
        <v>Prestamo Galicia - SGR</v>
      </c>
      <c r="HH59" s="1">
        <f ca="1"/>
        <v>14</v>
      </c>
      <c r="HI59" s="4">
        <f ca="1"/>
        <v>1674547</v>
      </c>
      <c r="HJ59" s="1" t="str">
        <f ca="1"/>
        <v/>
      </c>
      <c r="HK59" s="1" t="str">
        <f ca="1"/>
        <v>SI</v>
      </c>
      <c r="HL59" s="1">
        <f t="shared" ca="1" si="22"/>
        <v>40</v>
      </c>
    </row>
    <row r="60" spans="4:220" ht="15" x14ac:dyDescent="0.25">
      <c r="D60" s="40"/>
      <c r="F60" s="25" t="str">
        <f t="shared" ca="1" si="19"/>
        <v/>
      </c>
      <c r="G60" s="106" t="str">
        <f t="shared" si="81"/>
        <v/>
      </c>
      <c r="I60" s="3"/>
      <c r="L60" s="37"/>
      <c r="O60" s="32"/>
      <c r="P60" s="4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H60" s="4"/>
      <c r="CL60" s="4"/>
      <c r="HF60" s="23" cm="1">
        <f t="array" aca="1" ref="HF60" ca="1">IFERROR(IF(HI60="","",TEXT(DAY(HH60)&amp;"/"&amp;MONTH(INDIRECT("HG"&amp;HL60))&amp;"/"&amp;YEAR(INDIRECT("HG"&amp;HL60))+0,"DD/MM/YYYY"))+0,"")</f>
        <v>46005</v>
      </c>
      <c r="HG60" s="1" t="str">
        <f ca="1"/>
        <v>Prestamo Galicia +</v>
      </c>
      <c r="HH60" s="1">
        <f ca="1"/>
        <v>14</v>
      </c>
      <c r="HI60" s="4">
        <f ca="1"/>
        <v>1321310</v>
      </c>
      <c r="HJ60" s="1" t="str">
        <f ca="1"/>
        <v/>
      </c>
      <c r="HK60" s="1" t="str">
        <f ca="1"/>
        <v>SI</v>
      </c>
      <c r="HL60" s="1">
        <f t="shared" ca="1" si="22"/>
        <v>40</v>
      </c>
    </row>
    <row r="61" spans="4:220" ht="15" x14ac:dyDescent="0.25">
      <c r="D61" s="40"/>
      <c r="F61" s="25" t="str">
        <f t="shared" ca="1" si="19"/>
        <v/>
      </c>
      <c r="G61" s="106" t="str">
        <f t="shared" si="81"/>
        <v/>
      </c>
      <c r="H61" s="62" t="s">
        <v>78</v>
      </c>
      <c r="I61" s="63">
        <f ca="1">+I52-I59</f>
        <v>574793.08999999985</v>
      </c>
      <c r="O61" s="32"/>
      <c r="P61" s="4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103">
        <v>58</v>
      </c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H61" s="4"/>
      <c r="CL61" s="4"/>
      <c r="HF61" s="23" cm="1">
        <f t="array" aca="1" ref="HF61" ca="1">IFERROR(IF(HI61="","",TEXT(DAY(HH61)&amp;"/"&amp;MONTH(INDIRECT("HG"&amp;HL61))&amp;"/"&amp;YEAR(INDIRECT("HG"&amp;HL61))+0,"DD/MM/YYYY"))+0,"")</f>
        <v>46007</v>
      </c>
      <c r="HG61" s="1" t="str">
        <f ca="1"/>
        <v>Cuota Facilidades IVA</v>
      </c>
      <c r="HH61" s="1">
        <f ca="1"/>
        <v>16</v>
      </c>
      <c r="HI61" s="4">
        <f ca="1"/>
        <v>446304</v>
      </c>
      <c r="HJ61" s="1" t="str">
        <f ca="1"/>
        <v/>
      </c>
      <c r="HK61" s="1" t="str">
        <f ca="1"/>
        <v>SI</v>
      </c>
      <c r="HL61" s="1">
        <f t="shared" ca="1" si="22"/>
        <v>40</v>
      </c>
    </row>
    <row r="62" spans="4:220" ht="15" x14ac:dyDescent="0.25">
      <c r="D62" s="40"/>
      <c r="F62" s="25" t="str">
        <f t="shared" ca="1" si="19"/>
        <v/>
      </c>
      <c r="G62" s="106" t="str">
        <f t="shared" si="81"/>
        <v/>
      </c>
      <c r="I62" s="3"/>
      <c r="O62" s="32"/>
      <c r="P62" s="4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103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H62" s="4"/>
      <c r="CL62" s="4"/>
      <c r="HF62" s="23" cm="1">
        <f t="array" aca="1" ref="HF62" ca="1">IFERROR(IF(HI62="","",TEXT(DAY(HH62)&amp;"/"&amp;MONTH(INDIRECT("HG"&amp;HL62))&amp;"/"&amp;YEAR(INDIRECT("HG"&amp;HL62))+0,"DD/MM/YYYY"))+0,"")</f>
        <v>46007</v>
      </c>
      <c r="HG62" s="1" t="str">
        <f ca="1"/>
        <v>Cuota Facilidades IVA</v>
      </c>
      <c r="HH62" s="1">
        <f ca="1"/>
        <v>16</v>
      </c>
      <c r="HI62" s="4">
        <f ca="1"/>
        <v>410336</v>
      </c>
      <c r="HJ62" s="1" t="str">
        <f ca="1"/>
        <v/>
      </c>
      <c r="HK62" s="1" t="str">
        <f ca="1"/>
        <v>SI</v>
      </c>
      <c r="HL62" s="1">
        <f t="shared" ca="1" si="22"/>
        <v>40</v>
      </c>
    </row>
    <row r="63" spans="4:220" ht="15" x14ac:dyDescent="0.25">
      <c r="D63" s="40"/>
      <c r="F63" s="25" t="str">
        <f t="shared" ca="1" si="19"/>
        <v/>
      </c>
      <c r="G63" s="106" t="str">
        <f t="shared" si="81"/>
        <v/>
      </c>
      <c r="I63" s="3"/>
      <c r="O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103">
        <f>+AC61*2</f>
        <v>116</v>
      </c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HF63" s="23" cm="1">
        <f t="array" aca="1" ref="HF63" ca="1">IFERROR(IF(HI63="","",TEXT(DAY(HH63)&amp;"/"&amp;MONTH(INDIRECT("HG"&amp;HL63))&amp;"/"&amp;YEAR(INDIRECT("HG"&amp;HL63))+0,"DD/MM/YYYY"))+0,"")</f>
        <v>46008</v>
      </c>
      <c r="HG63" s="1" t="str">
        <f ca="1"/>
        <v>Prestamo Galicia</v>
      </c>
      <c r="HH63" s="1">
        <f ca="1"/>
        <v>17</v>
      </c>
      <c r="HI63" s="4">
        <f ca="1"/>
        <v>1528316.97</v>
      </c>
      <c r="HJ63" s="1" t="str">
        <f ca="1"/>
        <v/>
      </c>
      <c r="HK63" s="1" t="str">
        <f ca="1"/>
        <v>SI</v>
      </c>
      <c r="HL63" s="1">
        <f t="shared" ca="1" si="22"/>
        <v>40</v>
      </c>
    </row>
    <row r="64" spans="4:220" ht="15" x14ac:dyDescent="0.25">
      <c r="D64" s="40"/>
      <c r="F64" s="25" t="str">
        <f t="shared" ca="1" si="19"/>
        <v/>
      </c>
      <c r="G64" s="106" t="str">
        <f t="shared" si="81"/>
        <v/>
      </c>
      <c r="I64" s="3"/>
      <c r="O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HF64" s="23" cm="1">
        <f t="array" aca="1" ref="HF64" ca="1">IFERROR(IF(HI64="","",TEXT(DAY(HH64)&amp;"/"&amp;MONTH(INDIRECT("HG"&amp;HL64))&amp;"/"&amp;YEAR(INDIRECT("HG"&amp;HL64))+0,"DD/MM/YYYY"))+0,"")</f>
        <v>46010</v>
      </c>
      <c r="HG64" s="1" t="str">
        <f ca="1"/>
        <v>Tarjeta Galicia + VISA</v>
      </c>
      <c r="HH64" s="1">
        <f ca="1"/>
        <v>19</v>
      </c>
      <c r="HI64" s="4">
        <f ca="1"/>
        <v>3732772.7</v>
      </c>
      <c r="HJ64" s="1" t="str">
        <f ca="1"/>
        <v/>
      </c>
      <c r="HK64" s="1" t="str">
        <f ca="1"/>
        <v>SI</v>
      </c>
      <c r="HL64" s="1">
        <f t="shared" ca="1" si="22"/>
        <v>40</v>
      </c>
    </row>
    <row r="65" spans="4:220" ht="15" x14ac:dyDescent="0.25">
      <c r="D65" s="40"/>
      <c r="F65" s="25" t="str">
        <f t="shared" ca="1" si="19"/>
        <v/>
      </c>
      <c r="G65" s="106" t="str">
        <f t="shared" si="81"/>
        <v/>
      </c>
      <c r="I65" s="3"/>
      <c r="O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HF65" s="23" cm="1">
        <f t="array" aca="1" ref="HF65" ca="1">IFERROR(IF(HI65="","",TEXT(DAY(HH65)&amp;"/"&amp;MONTH(INDIRECT("HG"&amp;HL65))&amp;"/"&amp;YEAR(INDIRECT("HG"&amp;HL65))+0,"DD/MM/YYYY"))+0,"")</f>
        <v>46011</v>
      </c>
      <c r="HG65" s="1" t="str">
        <f ca="1"/>
        <v>BS Gestion</v>
      </c>
      <c r="HH65" s="1">
        <f ca="1"/>
        <v>20</v>
      </c>
      <c r="HI65" s="4">
        <f ca="1"/>
        <v>401600</v>
      </c>
      <c r="HJ65" s="1" t="str">
        <f ca="1"/>
        <v/>
      </c>
      <c r="HK65" s="1" t="str">
        <f ca="1"/>
        <v>SI</v>
      </c>
      <c r="HL65" s="1">
        <f t="shared" ca="1" si="22"/>
        <v>40</v>
      </c>
    </row>
    <row r="66" spans="4:220" ht="15" x14ac:dyDescent="0.25">
      <c r="D66" s="40"/>
      <c r="F66" s="25" t="str">
        <f t="shared" ca="1" si="19"/>
        <v/>
      </c>
      <c r="G66" s="106" t="str">
        <f t="shared" si="81"/>
        <v/>
      </c>
      <c r="I66" s="3"/>
      <c r="O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HF66" s="23" cm="1">
        <f t="array" aca="1" ref="HF66" ca="1">IFERROR(IF(HI66="","",TEXT(DAY(HH66)&amp;"/"&amp;MONTH(INDIRECT("HG"&amp;HL66))&amp;"/"&amp;YEAR(INDIRECT("HG"&amp;HL66))+0,"DD/MM/YYYY"))+0,"")</f>
        <v>46011</v>
      </c>
      <c r="HG66" s="1" t="str">
        <f ca="1"/>
        <v>66 eCommerce</v>
      </c>
      <c r="HH66" s="1">
        <f ca="1"/>
        <v>20</v>
      </c>
      <c r="HI66" s="4">
        <f ca="1"/>
        <v>332750</v>
      </c>
      <c r="HJ66" s="1" t="str">
        <f ca="1"/>
        <v/>
      </c>
      <c r="HK66" s="1" t="str">
        <f ca="1"/>
        <v/>
      </c>
      <c r="HL66" s="1">
        <f t="shared" ca="1" si="22"/>
        <v>40</v>
      </c>
    </row>
    <row r="67" spans="4:220" ht="15" x14ac:dyDescent="0.25">
      <c r="D67" s="40"/>
      <c r="F67" s="25" t="str">
        <f t="shared" ca="1" si="19"/>
        <v/>
      </c>
      <c r="G67" s="106" t="str">
        <f t="shared" si="81"/>
        <v/>
      </c>
      <c r="I67" s="3"/>
      <c r="O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HF67" s="23" cm="1">
        <f t="array" aca="1" ref="HF67" ca="1">IFERROR(IF(HI67="","",TEXT(DAY(HH67)&amp;"/"&amp;MONTH(INDIRECT("HG"&amp;HL67))&amp;"/"&amp;YEAR(INDIRECT("HG"&amp;HL67))+0,"DD/MM/YYYY"))+0,"")</f>
        <v>46013</v>
      </c>
      <c r="HG67" s="1" t="str">
        <f ca="1"/>
        <v>Seguros Rivadavía</v>
      </c>
      <c r="HH67" s="1">
        <f ca="1"/>
        <v>22</v>
      </c>
      <c r="HI67" s="4">
        <f ca="1"/>
        <v>345000</v>
      </c>
      <c r="HJ67" s="1" t="str">
        <f ca="1"/>
        <v/>
      </c>
      <c r="HK67" s="1" t="str">
        <f ca="1"/>
        <v>SI</v>
      </c>
      <c r="HL67" s="1">
        <f t="shared" ca="1" si="22"/>
        <v>40</v>
      </c>
    </row>
    <row r="68" spans="4:220" ht="15.75" thickBot="1" x14ac:dyDescent="0.3">
      <c r="D68" s="40"/>
      <c r="F68" s="25" t="str">
        <f t="shared" ca="1" si="19"/>
        <v/>
      </c>
      <c r="G68" s="106" t="str">
        <f t="shared" si="81"/>
        <v/>
      </c>
      <c r="I68" s="18" t="s">
        <v>0</v>
      </c>
      <c r="J68" s="18" t="s">
        <v>25</v>
      </c>
      <c r="K68" s="18" t="s">
        <v>5</v>
      </c>
      <c r="L68" s="18" t="s">
        <v>1</v>
      </c>
      <c r="M68" s="18" t="s">
        <v>4</v>
      </c>
      <c r="O68" s="1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HF68" s="23" cm="1">
        <f t="array" aca="1" ref="HF68" ca="1">IFERROR(IF(HI68="","",TEXT(DAY(HH68)&amp;"/"&amp;MONTH(INDIRECT("HG"&amp;HL68))&amp;"/"&amp;YEAR(INDIRECT("HG"&amp;HL68))+0,"DD/MM/YYYY"))+0,"")</f>
        <v>46014</v>
      </c>
      <c r="HG68" s="1" t="str">
        <f ca="1"/>
        <v>Echeq - NEPLASTIC</v>
      </c>
      <c r="HH68" s="1">
        <f ca="1"/>
        <v>23</v>
      </c>
      <c r="HI68" s="4">
        <f ca="1"/>
        <v>465547.5</v>
      </c>
      <c r="HJ68" s="1" t="str">
        <f ca="1"/>
        <v/>
      </c>
      <c r="HK68" s="1" t="str">
        <f ca="1"/>
        <v>SI</v>
      </c>
      <c r="HL68" s="1">
        <f t="shared" ca="1" si="22"/>
        <v>40</v>
      </c>
    </row>
    <row r="69" spans="4:220" ht="15" x14ac:dyDescent="0.25">
      <c r="D69" s="40"/>
      <c r="F69" s="25" t="str">
        <f t="shared" ca="1" si="19"/>
        <v/>
      </c>
      <c r="G69" s="106"/>
      <c r="I69" s="1" t="s">
        <v>53</v>
      </c>
      <c r="J69" s="3">
        <v>9</v>
      </c>
      <c r="K69" s="3">
        <v>17</v>
      </c>
      <c r="L69" s="1" t="s">
        <v>10</v>
      </c>
      <c r="M69" s="1" t="s">
        <v>28</v>
      </c>
      <c r="O69" s="1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HF69" s="23" cm="1">
        <f t="array" aca="1" ref="HF69" ca="1">IFERROR(IF(HI69="","",TEXT(DAY(HH69)&amp;"/"&amp;MONTH(INDIRECT("HG"&amp;HL69))&amp;"/"&amp;YEAR(INDIRECT("HG"&amp;HL69))+0,"DD/MM/YYYY"))+0,"")</f>
        <v>46015</v>
      </c>
      <c r="HG69" s="1" t="str">
        <f ca="1"/>
        <v>Prestamo Santander Rio</v>
      </c>
      <c r="HH69" s="1">
        <f ca="1"/>
        <v>24</v>
      </c>
      <c r="HI69" s="4">
        <f ca="1"/>
        <v>889000</v>
      </c>
      <c r="HJ69" s="1" t="str">
        <f ca="1"/>
        <v/>
      </c>
      <c r="HK69" s="1" t="str">
        <f ca="1"/>
        <v>SI</v>
      </c>
      <c r="HL69" s="1">
        <f t="shared" ref="HL69:HL132" ca="1" si="82">+IF(ISNUMBER(HG69),ROW(),HL68)</f>
        <v>40</v>
      </c>
    </row>
    <row r="70" spans="4:220" ht="15" x14ac:dyDescent="0.25">
      <c r="D70" s="40"/>
      <c r="F70" s="25" t="str">
        <f t="shared" ca="1" si="19"/>
        <v/>
      </c>
      <c r="G70" s="106" t="str">
        <f t="shared" si="81"/>
        <v/>
      </c>
      <c r="I70" s="1" t="s">
        <v>54</v>
      </c>
      <c r="J70" s="3">
        <v>2</v>
      </c>
      <c r="K70" s="3">
        <v>13</v>
      </c>
      <c r="L70" s="1" t="s">
        <v>10</v>
      </c>
      <c r="M70" s="1" t="s">
        <v>29</v>
      </c>
      <c r="O70" s="1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HF70" s="23" cm="1">
        <f t="array" aca="1" ref="HF70" ca="1">IFERROR(IF(HI70="","",TEXT(DAY(HH70)&amp;"/"&amp;MONTH(INDIRECT("HG"&amp;HL70))&amp;"/"&amp;YEAR(INDIRECT("HG"&amp;HL70))+0,"DD/MM/YYYY"))+0,"")</f>
        <v>46016</v>
      </c>
      <c r="HG70" s="1" t="str">
        <f ca="1"/>
        <v>Tarifa Expo</v>
      </c>
      <c r="HH70" s="1">
        <f ca="1"/>
        <v>25</v>
      </c>
      <c r="HI70" s="4">
        <f ca="1"/>
        <v>174636</v>
      </c>
      <c r="HJ70" s="1" t="str">
        <f ca="1"/>
        <v/>
      </c>
      <c r="HK70" s="1" t="str">
        <f ca="1"/>
        <v/>
      </c>
      <c r="HL70" s="1">
        <f t="shared" ca="1" si="82"/>
        <v>40</v>
      </c>
    </row>
    <row r="71" spans="4:220" ht="15" x14ac:dyDescent="0.25">
      <c r="D71" s="40"/>
      <c r="F71" s="25" t="str">
        <f t="shared" ca="1" si="19"/>
        <v/>
      </c>
      <c r="G71" s="106" t="str">
        <f t="shared" si="81"/>
        <v/>
      </c>
      <c r="I71" s="1" t="s">
        <v>55</v>
      </c>
      <c r="J71" s="3">
        <v>24</v>
      </c>
      <c r="K71" s="3">
        <v>3</v>
      </c>
      <c r="L71" s="1" t="s">
        <v>6</v>
      </c>
      <c r="M71" s="1" t="s">
        <v>26</v>
      </c>
      <c r="O71" s="1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HF71" s="23" cm="1">
        <f t="array" aca="1" ref="HF71" ca="1">IFERROR(IF(HI71="","",TEXT(DAY(HH71)&amp;"/"&amp;MONTH(INDIRECT("HG"&amp;HL71))&amp;"/"&amp;YEAR(INDIRECT("HG"&amp;HL71))+0,"DD/MM/YYYY"))+0,"")</f>
        <v>46018</v>
      </c>
      <c r="HG71" s="1" t="str">
        <f ca="1"/>
        <v>Prestamo Galicia +</v>
      </c>
      <c r="HH71" s="1">
        <f ca="1"/>
        <v>27</v>
      </c>
      <c r="HI71" s="4">
        <f ca="1"/>
        <v>315894.99</v>
      </c>
      <c r="HJ71" s="1" t="str">
        <f ca="1"/>
        <v/>
      </c>
      <c r="HK71" s="1" t="str">
        <f ca="1"/>
        <v>SI</v>
      </c>
      <c r="HL71" s="1">
        <f t="shared" ca="1" si="82"/>
        <v>40</v>
      </c>
    </row>
    <row r="72" spans="4:220" x14ac:dyDescent="0.2">
      <c r="D72" s="40"/>
      <c r="F72" s="25" t="str">
        <f t="shared" ref="F72:F78" ca="1" si="83">IF(B72-DAY(TODAY())&lt;0,"",B72-DAY(TODAY()))</f>
        <v/>
      </c>
      <c r="I72" s="1" t="s">
        <v>56</v>
      </c>
      <c r="J72" s="3">
        <v>23</v>
      </c>
      <c r="K72" s="3">
        <v>3</v>
      </c>
      <c r="L72" s="1" t="s">
        <v>6</v>
      </c>
      <c r="M72" s="1" t="s">
        <v>27</v>
      </c>
      <c r="O72" s="1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HF72" s="23" cm="1">
        <f t="array" aca="1" ref="HF72" ca="1">IFERROR(IF(HI72="","",TEXT(DAY(HH72)&amp;"/"&amp;MONTH(INDIRECT("HG"&amp;HL72))&amp;"/"&amp;YEAR(INDIRECT("HG"&amp;HL72))+0,"DD/MM/YYYY"))+0,"")</f>
        <v>46020</v>
      </c>
      <c r="HG72" s="1" t="str">
        <f ca="1"/>
        <v>Mercado pago - Despachante</v>
      </c>
      <c r="HH72" s="1">
        <f ca="1"/>
        <v>29</v>
      </c>
      <c r="HI72" s="4">
        <f ca="1"/>
        <v>1014734.79</v>
      </c>
      <c r="HJ72" s="1" t="str">
        <f ca="1"/>
        <v/>
      </c>
      <c r="HK72" s="1" t="str">
        <f ca="1"/>
        <v/>
      </c>
      <c r="HL72" s="1">
        <f t="shared" ca="1" si="82"/>
        <v>40</v>
      </c>
    </row>
    <row r="73" spans="4:220" ht="20.25" customHeight="1" x14ac:dyDescent="0.2">
      <c r="D73" s="40"/>
      <c r="F73" s="25" t="str">
        <f t="shared" ca="1" si="83"/>
        <v/>
      </c>
      <c r="I73" s="1" t="s">
        <v>57</v>
      </c>
      <c r="J73" s="3">
        <v>2</v>
      </c>
      <c r="K73" s="3">
        <v>13</v>
      </c>
      <c r="L73" s="1" t="s">
        <v>7</v>
      </c>
      <c r="M73" s="1" t="s">
        <v>31</v>
      </c>
      <c r="O73" s="1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HF73" s="23" t="str" cm="1">
        <f t="array" aca="1" ref="HF73" ca="1">IFERROR(IF(HI73="","",TEXT(DAY(HH73)&amp;"/"&amp;MONTH(INDIRECT("HG"&amp;HL73))&amp;"/"&amp;YEAR(INDIRECT("HG"&amp;HL73))+0,"DD/MM/YYYY"))+0,"")</f>
        <v/>
      </c>
      <c r="HL73" s="1">
        <f t="shared" ca="1" si="82"/>
        <v>40</v>
      </c>
    </row>
    <row r="74" spans="4:220" x14ac:dyDescent="0.2">
      <c r="D74" s="40"/>
      <c r="F74" s="25" t="str">
        <f t="shared" ca="1" si="83"/>
        <v/>
      </c>
      <c r="I74" s="1" t="s">
        <v>58</v>
      </c>
      <c r="J74" s="3">
        <v>2</v>
      </c>
      <c r="K74" s="3">
        <v>13</v>
      </c>
      <c r="L74" s="1" t="s">
        <v>7</v>
      </c>
      <c r="M74" s="1" t="s">
        <v>32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HF74" s="23" t="str" cm="1">
        <f t="array" aca="1" ref="HF74" ca="1">IFERROR(IF(HI74="","",TEXT(DAY(HH74)&amp;"/"&amp;MONTH(INDIRECT("HG"&amp;HL74))&amp;"/"&amp;YEAR(INDIRECT("HG"&amp;HL74))+0,"DD/MM/YYYY"))+0,"")</f>
        <v/>
      </c>
      <c r="HL74" s="1">
        <f t="shared" ca="1" si="82"/>
        <v>40</v>
      </c>
    </row>
    <row r="75" spans="4:220" x14ac:dyDescent="0.2">
      <c r="D75" s="40"/>
      <c r="F75" s="25" t="str">
        <f t="shared" ca="1" si="83"/>
        <v/>
      </c>
      <c r="H75" s="1"/>
      <c r="I75" s="1" t="s">
        <v>38</v>
      </c>
      <c r="J75" s="3">
        <v>7</v>
      </c>
      <c r="K75" s="3">
        <v>7</v>
      </c>
      <c r="L75" s="1" t="s">
        <v>8</v>
      </c>
      <c r="M75" s="1" t="s">
        <v>30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HF75" s="23" t="str" cm="1">
        <f t="array" aca="1" ref="HF75" ca="1">IFERROR(IF(HI75="","",TEXT(DAY(HH75)&amp;"/"&amp;MONTH(INDIRECT("HG"&amp;HL75))&amp;"/"&amp;YEAR(INDIRECT("HG"&amp;HL75))+0,"DD/MM/YYYY"))+0,"")</f>
        <v/>
      </c>
      <c r="HL75" s="1">
        <f t="shared" ca="1" si="82"/>
        <v>40</v>
      </c>
    </row>
    <row r="76" spans="4:220" x14ac:dyDescent="0.2">
      <c r="D76" s="40"/>
      <c r="F76" s="25" t="str">
        <f t="shared" ca="1" si="83"/>
        <v/>
      </c>
      <c r="I76" s="1" t="s">
        <v>159</v>
      </c>
      <c r="J76" s="3">
        <v>19</v>
      </c>
      <c r="K76" s="3">
        <v>19</v>
      </c>
      <c r="L76" s="1" t="s">
        <v>6</v>
      </c>
      <c r="M76" s="32" t="s">
        <v>191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HF76" s="23" t="str" cm="1">
        <f t="array" aca="1" ref="HF76" ca="1">IFERROR(IF(HI76="","",TEXT(DAY(HH76)&amp;"/"&amp;MONTH(INDIRECT("HG"&amp;HL76))&amp;"/"&amp;YEAR(INDIRECT("HG"&amp;HL76))+0,"DD/MM/YYYY"))+0,"")</f>
        <v/>
      </c>
      <c r="HG76" s="44">
        <f>+EDATE(HG40,1)</f>
        <v>46023</v>
      </c>
      <c r="HL76" s="1">
        <f t="shared" si="82"/>
        <v>76</v>
      </c>
    </row>
    <row r="77" spans="4:220" x14ac:dyDescent="0.2">
      <c r="D77" s="40"/>
      <c r="F77" s="25" t="str">
        <f t="shared" ca="1" si="83"/>
        <v/>
      </c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HF77" s="23" cm="1">
        <f t="array" aca="1" ref="HF77" ca="1">IFERROR(IF(HI77="","",TEXT(DAY(HH77)&amp;"/"&amp;MONTH(INDIRECT("HG"&amp;HL77))&amp;"/"&amp;YEAR(INDIRECT("HG"&amp;HL77))+0,"DD/MM/YYYY"))+0,"")</f>
        <v>46023</v>
      </c>
      <c r="HG77" s="1" t="str" cm="1">
        <f t="array" aca="1" ref="HG77:HK106" ca="1">IFERROR(
 _xlfn.LET(
  _xlpm.tabla,$I$3:$BB$43,
  _xlpm.cab,$O$2:$BB$2,
  _xlpm.base,COLUMN($O$2)-COLUMN($I$2)+1,
  _xlpm.k,MATCH(HG76,_xlpm.cab,0),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Movistar</v>
      </c>
      <c r="HH77" s="1">
        <f ca="1"/>
        <v>1</v>
      </c>
      <c r="HI77" s="4">
        <f ca="1"/>
        <v>10350</v>
      </c>
      <c r="HJ77" s="1" t="str">
        <f ca="1"/>
        <v/>
      </c>
      <c r="HK77" s="1" t="str">
        <f ca="1"/>
        <v>SI</v>
      </c>
      <c r="HL77" s="1">
        <f t="shared" ca="1" si="82"/>
        <v>76</v>
      </c>
    </row>
    <row r="78" spans="4:220" x14ac:dyDescent="0.2">
      <c r="D78" s="40"/>
      <c r="F78" s="25" t="str">
        <f t="shared" ca="1" si="83"/>
        <v/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HF78" s="23" cm="1">
        <f t="array" aca="1" ref="HF78" ca="1">IFERROR(IF(HI78="","",TEXT(DAY(HH78)&amp;"/"&amp;MONTH(INDIRECT("HG"&amp;HL78))&amp;"/"&amp;YEAR(INDIRECT("HG"&amp;HL78))+0,"DD/MM/YYYY"))+0,"")</f>
        <v>46024</v>
      </c>
      <c r="HG78" s="1" t="str">
        <f ca="1"/>
        <v>Tarjeta Galicia - VISA</v>
      </c>
      <c r="HH78" s="1">
        <f ca="1"/>
        <v>2</v>
      </c>
      <c r="HI78" s="4">
        <f ca="1"/>
        <v>1694686.5</v>
      </c>
      <c r="HJ78" s="1" t="str">
        <f ca="1"/>
        <v/>
      </c>
      <c r="HK78" s="1" t="str">
        <f ca="1"/>
        <v>SI</v>
      </c>
      <c r="HL78" s="1">
        <f t="shared" ca="1" si="82"/>
        <v>76</v>
      </c>
    </row>
    <row r="79" spans="4:220" ht="15.75" customHeight="1" x14ac:dyDescent="0.2">
      <c r="D79" s="40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HF79" s="23" cm="1">
        <f t="array" aca="1" ref="HF79" ca="1">IFERROR(IF(HI79="","",TEXT(DAY(HH79)&amp;"/"&amp;MONTH(INDIRECT("HG"&amp;HL79))&amp;"/"&amp;YEAR(INDIRECT("HG"&amp;HL79))+0,"DD/MM/YYYY"))+0,"")</f>
        <v>46024</v>
      </c>
      <c r="HG79" s="1" t="str">
        <f ca="1"/>
        <v>Aseg. Motovehicular</v>
      </c>
      <c r="HH79" s="1">
        <f ca="1"/>
        <v>2</v>
      </c>
      <c r="HI79" s="4">
        <f ca="1"/>
        <v>120145</v>
      </c>
      <c r="HJ79" s="1" t="str">
        <f ca="1"/>
        <v/>
      </c>
      <c r="HK79" s="1" t="str">
        <f ca="1"/>
        <v>SI</v>
      </c>
      <c r="HL79" s="1">
        <f t="shared" ca="1" si="82"/>
        <v>76</v>
      </c>
    </row>
    <row r="80" spans="4:220" ht="15.75" customHeight="1" x14ac:dyDescent="0.2">
      <c r="D80" s="40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HF80" s="23" cm="1">
        <f t="array" aca="1" ref="HF80" ca="1">IFERROR(IF(HI80="","",TEXT(DAY(HH80)&amp;"/"&amp;MONTH(INDIRECT("HG"&amp;HL80))&amp;"/"&amp;YEAR(INDIRECT("HG"&amp;HL80))+0,"DD/MM/YYYY"))+0,"")</f>
        <v>46024</v>
      </c>
      <c r="HG80" s="1" t="str">
        <f ca="1"/>
        <v>Personal Flow</v>
      </c>
      <c r="HH80" s="1">
        <f ca="1"/>
        <v>2</v>
      </c>
      <c r="HI80" s="4">
        <f ca="1"/>
        <v>71670</v>
      </c>
      <c r="HJ80" s="1" t="str">
        <f ca="1"/>
        <v/>
      </c>
      <c r="HK80" s="1" t="str">
        <f ca="1"/>
        <v>SI</v>
      </c>
      <c r="HL80" s="1">
        <f t="shared" ca="1" si="82"/>
        <v>76</v>
      </c>
    </row>
    <row r="81" spans="4:220" ht="15.75" customHeight="1" x14ac:dyDescent="0.2">
      <c r="D81" s="40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HF81" s="23" cm="1">
        <f t="array" aca="1" ref="HF81" ca="1">IFERROR(IF(HI81="","",TEXT(DAY(HH81)&amp;"/"&amp;MONTH(INDIRECT("HG"&amp;HL81))&amp;"/"&amp;YEAR(INDIRECT("HG"&amp;HL81))+0,"DD/MM/YYYY"))+0,"")</f>
        <v>46027</v>
      </c>
      <c r="HG81" s="1" t="str">
        <f ca="1"/>
        <v>Autonomo</v>
      </c>
      <c r="HH81" s="1">
        <f ca="1"/>
        <v>5</v>
      </c>
      <c r="HI81" s="4">
        <f ca="1"/>
        <v>85721</v>
      </c>
      <c r="HJ81" s="1" t="str">
        <f ca="1"/>
        <v/>
      </c>
      <c r="HK81" s="1" t="str">
        <f ca="1"/>
        <v>SI</v>
      </c>
      <c r="HL81" s="1">
        <f t="shared" ca="1" si="82"/>
        <v>76</v>
      </c>
    </row>
    <row r="82" spans="4:220" ht="15" customHeight="1" x14ac:dyDescent="0.2">
      <c r="D82" s="40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HF82" s="23" cm="1">
        <f t="array" aca="1" ref="HF82" ca="1">IFERROR(IF(HI82="","",TEXT(DAY(HH82)&amp;"/"&amp;MONTH(INDIRECT("HG"&amp;HL82))&amp;"/"&amp;YEAR(INDIRECT("HG"&amp;HL82))+0,"DD/MM/YYYY"))+0,"")</f>
        <v>46029</v>
      </c>
      <c r="HG82" s="1" t="str">
        <f ca="1"/>
        <v>Tarjeta ICBC</v>
      </c>
      <c r="HH82" s="1">
        <f ca="1"/>
        <v>7</v>
      </c>
      <c r="HI82" s="4">
        <f ca="1"/>
        <v>40577.730000000003</v>
      </c>
      <c r="HJ82" s="1" t="str">
        <f ca="1"/>
        <v/>
      </c>
      <c r="HK82" s="1" t="str">
        <f ca="1"/>
        <v/>
      </c>
      <c r="HL82" s="1">
        <f t="shared" ca="1" si="82"/>
        <v>76</v>
      </c>
    </row>
    <row r="83" spans="4:220" ht="15" customHeight="1" x14ac:dyDescent="0.2">
      <c r="D83" s="40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HF83" s="23" cm="1">
        <f t="array" aca="1" ref="HF83" ca="1">IFERROR(IF(HI83="","",TEXT(DAY(HH83)&amp;"/"&amp;MONTH(INDIRECT("HG"&amp;HL83))&amp;"/"&amp;YEAR(INDIRECT("HG"&amp;HL83))+0,"DD/MM/YYYY"))+0,"")</f>
        <v>46031</v>
      </c>
      <c r="HG83" s="1" t="str">
        <f ca="1"/>
        <v>Tarjeta Galicia + MASTER</v>
      </c>
      <c r="HH83" s="1">
        <f ca="1"/>
        <v>9</v>
      </c>
      <c r="HI83" s="4">
        <f ca="1"/>
        <v>40000</v>
      </c>
      <c r="HJ83" s="1" t="str">
        <f ca="1"/>
        <v/>
      </c>
      <c r="HK83" s="1" t="str">
        <f ca="1"/>
        <v>SI</v>
      </c>
      <c r="HL83" s="1">
        <f t="shared" ca="1" si="82"/>
        <v>76</v>
      </c>
    </row>
    <row r="84" spans="4:220" x14ac:dyDescent="0.2">
      <c r="D84" s="40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HF84" s="23" cm="1">
        <f t="array" aca="1" ref="HF84" ca="1">IFERROR(IF(HI84="","",TEXT(DAY(HH84)&amp;"/"&amp;MONTH(INDIRECT("HG"&amp;HL84))&amp;"/"&amp;YEAR(INDIRECT("HG"&amp;HL84))+0,"DD/MM/YYYY"))+0,"")</f>
        <v>46031</v>
      </c>
      <c r="HG84" s="1" t="str">
        <f ca="1"/>
        <v>Tarjeta Santander Rio - VISA</v>
      </c>
      <c r="HH84" s="1">
        <f ca="1"/>
        <v>9</v>
      </c>
      <c r="HI84" s="4">
        <f ca="1"/>
        <v>1298535</v>
      </c>
      <c r="HJ84" s="1" t="str">
        <f ca="1"/>
        <v/>
      </c>
      <c r="HK84" s="1" t="str">
        <f ca="1"/>
        <v>SI</v>
      </c>
      <c r="HL84" s="1">
        <f t="shared" ca="1" si="82"/>
        <v>76</v>
      </c>
    </row>
    <row r="85" spans="4:220" x14ac:dyDescent="0.2">
      <c r="D85" s="40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HF85" s="23" cm="1">
        <f t="array" aca="1" ref="HF85" ca="1">IFERROR(IF(HI85="","",TEXT(DAY(HH85)&amp;"/"&amp;MONTH(INDIRECT("HG"&amp;HL85))&amp;"/"&amp;YEAR(INDIRECT("HG"&amp;HL85))+0,"DD/MM/YYYY"))+0,"")</f>
        <v>46032</v>
      </c>
      <c r="HG85" s="1" t="str">
        <f ca="1"/>
        <v>Alquiler Distribuidora</v>
      </c>
      <c r="HH85" s="1">
        <f ca="1"/>
        <v>10</v>
      </c>
      <c r="HI85" s="4">
        <f ca="1"/>
        <v>600000</v>
      </c>
      <c r="HJ85" s="1" t="str">
        <f ca="1"/>
        <v/>
      </c>
      <c r="HK85" s="1" t="str">
        <f ca="1"/>
        <v>SI</v>
      </c>
      <c r="HL85" s="1">
        <f t="shared" ca="1" si="82"/>
        <v>76</v>
      </c>
    </row>
    <row r="86" spans="4:220" x14ac:dyDescent="0.2">
      <c r="D86" s="40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HF86" s="23" cm="1">
        <f t="array" aca="1" ref="HF86" ca="1">IFERROR(IF(HI86="","",TEXT(DAY(HH86)&amp;"/"&amp;MONTH(INDIRECT("HG"&amp;HL86))&amp;"/"&amp;YEAR(INDIRECT("HG"&amp;HL86))+0,"DD/MM/YYYY"))+0,"")</f>
        <v>46032</v>
      </c>
      <c r="HG86" s="1" t="str">
        <f ca="1"/>
        <v>Alquiler Casa</v>
      </c>
      <c r="HH86" s="1">
        <f ca="1"/>
        <v>10</v>
      </c>
      <c r="HI86" s="4">
        <f ca="1"/>
        <v>250000</v>
      </c>
      <c r="HJ86" s="1" t="str">
        <f ca="1"/>
        <v/>
      </c>
      <c r="HK86" s="1" t="str">
        <f ca="1"/>
        <v>SI</v>
      </c>
      <c r="HL86" s="1">
        <f t="shared" ca="1" si="82"/>
        <v>76</v>
      </c>
    </row>
    <row r="87" spans="4:220" x14ac:dyDescent="0.2">
      <c r="D87" s="40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HF87" s="23" cm="1">
        <f t="array" aca="1" ref="HF87" ca="1">IFERROR(IF(HI87="","",TEXT(DAY(HH87)&amp;"/"&amp;MONTH(INDIRECT("HG"&amp;HL87))&amp;"/"&amp;YEAR(INDIRECT("HG"&amp;HL87))+0,"DD/MM/YYYY"))+0,"")</f>
        <v>46032</v>
      </c>
      <c r="HG87" s="1" t="str">
        <f ca="1"/>
        <v>Mel diseño grafico</v>
      </c>
      <c r="HH87" s="1">
        <f ca="1"/>
        <v>10</v>
      </c>
      <c r="HI87" s="4">
        <f ca="1"/>
        <v>500000</v>
      </c>
      <c r="HJ87" s="1" t="str">
        <f ca="1"/>
        <v/>
      </c>
      <c r="HK87" s="1" t="str">
        <f ca="1"/>
        <v>SI</v>
      </c>
      <c r="HL87" s="1">
        <f t="shared" ca="1" si="82"/>
        <v>76</v>
      </c>
    </row>
    <row r="88" spans="4:220" x14ac:dyDescent="0.2">
      <c r="D88" s="40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HF88" s="23" cm="1">
        <f t="array" aca="1" ref="HF88" ca="1">IFERROR(IF(HI88="","",TEXT(DAY(HH88)&amp;"/"&amp;MONTH(INDIRECT("HG"&amp;HL88))&amp;"/"&amp;YEAR(INDIRECT("HG"&amp;HL88))+0,"DD/MM/YYYY"))+0,"")</f>
        <v>46032</v>
      </c>
      <c r="HG88" s="1" t="str">
        <f ca="1"/>
        <v>Contador</v>
      </c>
      <c r="HH88" s="1">
        <f ca="1"/>
        <v>10</v>
      </c>
      <c r="HI88" s="4">
        <f ca="1"/>
        <v>150000</v>
      </c>
      <c r="HJ88" s="1" t="str">
        <f ca="1"/>
        <v/>
      </c>
      <c r="HK88" s="1" t="str">
        <f ca="1"/>
        <v>SI</v>
      </c>
      <c r="HL88" s="1">
        <f t="shared" ca="1" si="82"/>
        <v>76</v>
      </c>
    </row>
    <row r="89" spans="4:220" x14ac:dyDescent="0.2">
      <c r="D89" s="40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HF89" s="23" cm="1">
        <f t="array" aca="1" ref="HF89" ca="1">IFERROR(IF(HI89="","",TEXT(DAY(HH89)&amp;"/"&amp;MONTH(INDIRECT("HG"&amp;HL89))&amp;"/"&amp;YEAR(INDIRECT("HG"&amp;HL89))+0,"DD/MM/YYYY"))+0,"")</f>
        <v>46034</v>
      </c>
      <c r="HG89" s="1" t="str">
        <f ca="1"/>
        <v>Cargas Sociales</v>
      </c>
      <c r="HH89" s="1">
        <f ca="1"/>
        <v>12</v>
      </c>
      <c r="HI89" s="4">
        <f ca="1"/>
        <v>1211326.9300000002</v>
      </c>
      <c r="HJ89" s="1" t="str">
        <f ca="1"/>
        <v/>
      </c>
      <c r="HK89" s="1" t="str">
        <f ca="1"/>
        <v>SI</v>
      </c>
      <c r="HL89" s="1">
        <f t="shared" ca="1" si="82"/>
        <v>76</v>
      </c>
    </row>
    <row r="90" spans="4:220" x14ac:dyDescent="0.2">
      <c r="D90" s="40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HF90" s="23" cm="1">
        <f t="array" aca="1" ref="HF90" ca="1">IFERROR(IF(HI90="","",TEXT(DAY(HH90)&amp;"/"&amp;MONTH(INDIRECT("HG"&amp;HL90))&amp;"/"&amp;YEAR(INDIRECT("HG"&amp;HL90))+0,"DD/MM/YYYY"))+0,"")</f>
        <v>46035</v>
      </c>
      <c r="HG90" s="1" t="str">
        <f ca="1"/>
        <v>Personal Flow</v>
      </c>
      <c r="HH90" s="1">
        <f ca="1"/>
        <v>13</v>
      </c>
      <c r="HI90" s="4">
        <f ca="1"/>
        <v>98566</v>
      </c>
      <c r="HJ90" s="1" t="str">
        <f ca="1"/>
        <v/>
      </c>
      <c r="HK90" s="1" t="str">
        <f ca="1"/>
        <v>SI</v>
      </c>
      <c r="HL90" s="1">
        <f t="shared" ca="1" si="82"/>
        <v>76</v>
      </c>
    </row>
    <row r="91" spans="4:220" x14ac:dyDescent="0.2">
      <c r="D91" s="40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HF91" s="23" cm="1">
        <f t="array" aca="1" ref="HF91" ca="1">IFERROR(IF(HI91="","",TEXT(DAY(HH91)&amp;"/"&amp;MONTH(INDIRECT("HG"&amp;HL91))&amp;"/"&amp;YEAR(INDIRECT("HG"&amp;HL91))+0,"DD/MM/YYYY"))+0,"")</f>
        <v>46035</v>
      </c>
      <c r="HG91" s="1" t="str">
        <f ca="1"/>
        <v>Victoria Seguros</v>
      </c>
      <c r="HH91" s="1">
        <f ca="1"/>
        <v>13</v>
      </c>
      <c r="HI91" s="4">
        <f ca="1"/>
        <v>90346.85</v>
      </c>
      <c r="HJ91" s="1" t="str">
        <f ca="1"/>
        <v/>
      </c>
      <c r="HK91" s="1" t="str">
        <f ca="1"/>
        <v/>
      </c>
      <c r="HL91" s="1">
        <f t="shared" ca="1" si="82"/>
        <v>76</v>
      </c>
    </row>
    <row r="92" spans="4:220" x14ac:dyDescent="0.2">
      <c r="D92" s="40"/>
      <c r="I92" s="4">
        <v>502570</v>
      </c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HF92" s="23" cm="1">
        <f t="array" aca="1" ref="HF92" ca="1">IFERROR(IF(HI92="","",TEXT(DAY(HH92)&amp;"/"&amp;MONTH(INDIRECT("HG"&amp;HL92))&amp;"/"&amp;YEAR(INDIRECT("HG"&amp;HL92))+0,"DD/MM/YYYY"))+0,"")</f>
        <v>46036</v>
      </c>
      <c r="HG92" s="1" t="str">
        <f ca="1"/>
        <v>Prestamo Galicia - SGR</v>
      </c>
      <c r="HH92" s="1">
        <f ca="1"/>
        <v>14</v>
      </c>
      <c r="HI92" s="4">
        <f ca="1"/>
        <v>1582000</v>
      </c>
      <c r="HJ92" s="1" t="str">
        <f ca="1"/>
        <v/>
      </c>
      <c r="HK92" s="1" t="str">
        <f ca="1"/>
        <v>SI</v>
      </c>
      <c r="HL92" s="1">
        <f t="shared" ca="1" si="82"/>
        <v>76</v>
      </c>
    </row>
    <row r="93" spans="4:220" x14ac:dyDescent="0.2">
      <c r="D93" s="40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HF93" s="23" cm="1">
        <f t="array" aca="1" ref="HF93" ca="1">IFERROR(IF(HI93="","",TEXT(DAY(HH93)&amp;"/"&amp;MONTH(INDIRECT("HG"&amp;HL93))&amp;"/"&amp;YEAR(INDIRECT("HG"&amp;HL93))+0,"DD/MM/YYYY"))+0,"")</f>
        <v>46038</v>
      </c>
      <c r="HG93" s="1" t="str">
        <f ca="1"/>
        <v>Tarjeta Galicia + VISA</v>
      </c>
      <c r="HH93" s="1">
        <f ca="1"/>
        <v>16</v>
      </c>
      <c r="HI93" s="4">
        <f ca="1"/>
        <v>809334.86</v>
      </c>
      <c r="HJ93" s="1" t="str">
        <f ca="1"/>
        <v/>
      </c>
      <c r="HK93" s="1" t="str">
        <f ca="1"/>
        <v>SI</v>
      </c>
      <c r="HL93" s="1">
        <f t="shared" ca="1" si="82"/>
        <v>76</v>
      </c>
    </row>
    <row r="94" spans="4:220" x14ac:dyDescent="0.2">
      <c r="D94" s="40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HF94" s="23" cm="1">
        <f t="array" aca="1" ref="HF94" ca="1">IFERROR(IF(HI94="","",TEXT(DAY(HH94)&amp;"/"&amp;MONTH(INDIRECT("HG"&amp;HL94))&amp;"/"&amp;YEAR(INDIRECT("HG"&amp;HL94))+0,"DD/MM/YYYY"))+0,"")</f>
        <v>46038</v>
      </c>
      <c r="HG94" s="1" t="str">
        <f ca="1"/>
        <v>Cuota Facilidades IVA</v>
      </c>
      <c r="HH94" s="1">
        <f ca="1"/>
        <v>16</v>
      </c>
      <c r="HI94" s="4">
        <f ca="1"/>
        <v>446304</v>
      </c>
      <c r="HJ94" s="1" t="str">
        <f ca="1"/>
        <v/>
      </c>
      <c r="HK94" s="1" t="str">
        <f ca="1"/>
        <v>SI</v>
      </c>
      <c r="HL94" s="1">
        <f t="shared" ca="1" si="82"/>
        <v>76</v>
      </c>
    </row>
    <row r="95" spans="4:220" x14ac:dyDescent="0.2">
      <c r="D95" s="40"/>
      <c r="I95" s="1">
        <v>476858</v>
      </c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HF95" s="23" cm="1">
        <f t="array" aca="1" ref="HF95" ca="1">IFERROR(IF(HI95="","",TEXT(DAY(HH95)&amp;"/"&amp;MONTH(INDIRECT("HG"&amp;HL95))&amp;"/"&amp;YEAR(INDIRECT("HG"&amp;HL95))+0,"DD/MM/YYYY"))+0,"")</f>
        <v>46038</v>
      </c>
      <c r="HG95" s="1" t="str">
        <f ca="1"/>
        <v>Cuota Facilidades IVA</v>
      </c>
      <c r="HH95" s="1">
        <f ca="1"/>
        <v>16</v>
      </c>
      <c r="HI95" s="4">
        <f ca="1"/>
        <v>410336</v>
      </c>
      <c r="HJ95" s="1" t="str">
        <f ca="1"/>
        <v/>
      </c>
      <c r="HK95" s="1" t="str">
        <f ca="1"/>
        <v>SI</v>
      </c>
      <c r="HL95" s="1">
        <f t="shared" ca="1" si="82"/>
        <v>76</v>
      </c>
    </row>
    <row r="96" spans="4:220" x14ac:dyDescent="0.2">
      <c r="D96" s="40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HF96" s="23" cm="1">
        <f t="array" aca="1" ref="HF96" ca="1">IFERROR(IF(HI96="","",TEXT(DAY(HH96)&amp;"/"&amp;MONTH(INDIRECT("HG"&amp;HL96))&amp;"/"&amp;YEAR(INDIRECT("HG"&amp;HL96))+0,"DD/MM/YYYY"))+0,"")</f>
        <v>46038</v>
      </c>
      <c r="HG96" s="1" t="str">
        <f ca="1"/>
        <v>Monotributo IVAN</v>
      </c>
      <c r="HH96" s="1">
        <f ca="1"/>
        <v>16</v>
      </c>
      <c r="HI96" s="4">
        <f ca="1"/>
        <v>92453</v>
      </c>
      <c r="HJ96" s="1" t="str">
        <f ca="1"/>
        <v/>
      </c>
      <c r="HK96" s="1" t="str">
        <f ca="1"/>
        <v>SI</v>
      </c>
      <c r="HL96" s="1">
        <f t="shared" ca="1" si="82"/>
        <v>76</v>
      </c>
    </row>
    <row r="97" spans="4:220" x14ac:dyDescent="0.2">
      <c r="D97" s="40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HF97" s="23" cm="1">
        <f t="array" aca="1" ref="HF97" ca="1">IFERROR(IF(HI97="","",TEXT(DAY(HH97)&amp;"/"&amp;MONTH(INDIRECT("HG"&amp;HL97))&amp;"/"&amp;YEAR(INDIRECT("HG"&amp;HL97))+0,"DD/MM/YYYY"))+0,"")</f>
        <v>46038</v>
      </c>
      <c r="HG97" s="1" t="str">
        <f ca="1"/>
        <v>Monotributo Mayeski</v>
      </c>
      <c r="HH97" s="1">
        <f ca="1"/>
        <v>16</v>
      </c>
      <c r="HI97" s="4">
        <f ca="1"/>
        <v>92453</v>
      </c>
      <c r="HJ97" s="1" t="str">
        <f ca="1"/>
        <v/>
      </c>
      <c r="HK97" s="1" t="str">
        <f ca="1"/>
        <v>SI</v>
      </c>
      <c r="HL97" s="1">
        <f t="shared" ca="1" si="82"/>
        <v>76</v>
      </c>
    </row>
    <row r="98" spans="4:220" x14ac:dyDescent="0.2">
      <c r="D98" s="40"/>
      <c r="I98" s="93">
        <f>+I92-I95</f>
        <v>25712</v>
      </c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HF98" s="23" cm="1">
        <f t="array" aca="1" ref="HF98" ca="1">IFERROR(IF(HI98="","",TEXT(DAY(HH98)&amp;"/"&amp;MONTH(INDIRECT("HG"&amp;HL98))&amp;"/"&amp;YEAR(INDIRECT("HG"&amp;HL98))+0,"DD/MM/YYYY"))+0,"")</f>
        <v>46038</v>
      </c>
      <c r="HG98" s="1" t="str">
        <f ca="1"/>
        <v>Monotributo David</v>
      </c>
      <c r="HH98" s="1">
        <f ca="1"/>
        <v>16</v>
      </c>
      <c r="HI98" s="4">
        <f ca="1"/>
        <v>75000</v>
      </c>
      <c r="HJ98" s="1" t="str">
        <f ca="1"/>
        <v/>
      </c>
      <c r="HK98" s="1" t="str">
        <f ca="1"/>
        <v>SI</v>
      </c>
      <c r="HL98" s="1">
        <f t="shared" ca="1" si="82"/>
        <v>76</v>
      </c>
    </row>
    <row r="99" spans="4:220" x14ac:dyDescent="0.2">
      <c r="D99" s="40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HF99" s="23" cm="1">
        <f t="array" aca="1" ref="HF99" ca="1">IFERROR(IF(HI99="","",TEXT(DAY(HH99)&amp;"/"&amp;MONTH(INDIRECT("HG"&amp;HL99))&amp;"/"&amp;YEAR(INDIRECT("HG"&amp;HL99))+0,"DD/MM/YYYY"))+0,"")</f>
        <v>46038</v>
      </c>
      <c r="HG99" s="1" t="str">
        <f ca="1"/>
        <v>Prestamo Galicia</v>
      </c>
      <c r="HH99" s="1">
        <f ca="1"/>
        <v>16</v>
      </c>
      <c r="HI99" s="4">
        <f ca="1"/>
        <v>1498822.21</v>
      </c>
      <c r="HJ99" s="1" t="str">
        <f ca="1"/>
        <v/>
      </c>
      <c r="HK99" s="1" t="str">
        <f ca="1"/>
        <v>SI</v>
      </c>
      <c r="HL99" s="1">
        <f t="shared" ca="1" si="82"/>
        <v>76</v>
      </c>
    </row>
    <row r="100" spans="4:220" x14ac:dyDescent="0.2">
      <c r="D100" s="40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HF100" s="23" cm="1">
        <f t="array" aca="1" ref="HF100" ca="1">IFERROR(IF(HI100="","",TEXT(DAY(HH100)&amp;"/"&amp;MONTH(INDIRECT("HG"&amp;HL100))&amp;"/"&amp;YEAR(INDIRECT("HG"&amp;HL100))+0,"DD/MM/YYYY"))+0,"")</f>
        <v>46041</v>
      </c>
      <c r="HG100" s="1" t="str">
        <f ca="1"/>
        <v>Prestamo Galicia +</v>
      </c>
      <c r="HH100" s="1">
        <f ca="1"/>
        <v>19</v>
      </c>
      <c r="HI100" s="4">
        <f ca="1"/>
        <v>1440016.96</v>
      </c>
      <c r="HJ100" s="1" t="str">
        <f ca="1"/>
        <v/>
      </c>
      <c r="HK100" s="1" t="str">
        <f ca="1"/>
        <v>SI</v>
      </c>
      <c r="HL100" s="1">
        <f t="shared" ca="1" si="82"/>
        <v>76</v>
      </c>
    </row>
    <row r="101" spans="4:220" x14ac:dyDescent="0.2"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HF101" s="23" cm="1">
        <f t="array" aca="1" ref="HF101" ca="1">IFERROR(IF(HI101="","",TEXT(DAY(HH101)&amp;"/"&amp;MONTH(INDIRECT("HG"&amp;HL101))&amp;"/"&amp;YEAR(INDIRECT("HG"&amp;HL101))+0,"DD/MM/YYYY"))+0,"")</f>
        <v>46041</v>
      </c>
      <c r="HG101" s="1" t="str">
        <f ca="1"/>
        <v>Tarjeta Galicia - BUSINESS</v>
      </c>
      <c r="HH101" s="1">
        <f ca="1"/>
        <v>19</v>
      </c>
      <c r="HI101" s="4">
        <f ca="1"/>
        <v>176625.77</v>
      </c>
      <c r="HJ101" s="1" t="str">
        <f ca="1"/>
        <v/>
      </c>
      <c r="HK101" s="1" t="str">
        <f ca="1"/>
        <v>SI</v>
      </c>
      <c r="HL101" s="1">
        <f t="shared" ca="1" si="82"/>
        <v>76</v>
      </c>
    </row>
    <row r="102" spans="4:220" x14ac:dyDescent="0.2"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HF102" s="23" cm="1">
        <f t="array" aca="1" ref="HF102" ca="1">IFERROR(IF(HI102="","",TEXT(DAY(HH102)&amp;"/"&amp;MONTH(INDIRECT("HG"&amp;HL102))&amp;"/"&amp;YEAR(INDIRECT("HG"&amp;HL102))+0,"DD/MM/YYYY"))+0,"")</f>
        <v>46042</v>
      </c>
      <c r="HG102" s="1" t="str">
        <f ca="1"/>
        <v>BS Gestion</v>
      </c>
      <c r="HH102" s="1">
        <f ca="1"/>
        <v>20</v>
      </c>
      <c r="HI102" s="4">
        <f ca="1"/>
        <v>401600</v>
      </c>
      <c r="HJ102" s="1" t="str">
        <f ca="1"/>
        <v/>
      </c>
      <c r="HK102" s="1" t="str">
        <f ca="1"/>
        <v>SI</v>
      </c>
      <c r="HL102" s="1">
        <f t="shared" ca="1" si="82"/>
        <v>76</v>
      </c>
    </row>
    <row r="103" spans="4:220" x14ac:dyDescent="0.2"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HF103" s="23" cm="1">
        <f t="array" aca="1" ref="HF103" ca="1">IFERROR(IF(HI103="","",TEXT(DAY(HH103)&amp;"/"&amp;MONTH(INDIRECT("HG"&amp;HL103))&amp;"/"&amp;YEAR(INDIRECT("HG"&amp;HL103))+0,"DD/MM/YYYY"))+0,"")</f>
        <v>46044</v>
      </c>
      <c r="HG103" s="1" t="str">
        <f ca="1"/>
        <v>Seguros Rivadavía</v>
      </c>
      <c r="HH103" s="1">
        <f ca="1"/>
        <v>22</v>
      </c>
      <c r="HI103" s="4">
        <f ca="1"/>
        <v>93593</v>
      </c>
      <c r="HJ103" s="1" t="str">
        <f ca="1"/>
        <v/>
      </c>
      <c r="HK103" s="1" t="str">
        <f ca="1"/>
        <v>SI</v>
      </c>
      <c r="HL103" s="1">
        <f t="shared" ca="1" si="82"/>
        <v>76</v>
      </c>
    </row>
    <row r="104" spans="4:220" x14ac:dyDescent="0.2"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HF104" s="23" cm="1">
        <f t="array" aca="1" ref="HF104" ca="1">IFERROR(IF(HI104="","",TEXT(DAY(HH104)&amp;"/"&amp;MONTH(INDIRECT("HG"&amp;HL104))&amp;"/"&amp;YEAR(INDIRECT("HG"&amp;HL104))+0,"DD/MM/YYYY"))+0,"")</f>
        <v>46046</v>
      </c>
      <c r="HG104" s="1" t="str">
        <f ca="1"/>
        <v>Prestamo Santander Rio</v>
      </c>
      <c r="HH104" s="1">
        <f ca="1"/>
        <v>24</v>
      </c>
      <c r="HI104" s="4">
        <f ca="1"/>
        <v>879150</v>
      </c>
      <c r="HJ104" s="1" t="str">
        <f ca="1"/>
        <v/>
      </c>
      <c r="HK104" s="1" t="str">
        <f ca="1"/>
        <v>SI</v>
      </c>
      <c r="HL104" s="1">
        <f t="shared" ca="1" si="82"/>
        <v>76</v>
      </c>
    </row>
    <row r="105" spans="4:220" x14ac:dyDescent="0.2">
      <c r="H105" s="64">
        <v>46006</v>
      </c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HF105" s="23" cm="1">
        <f t="array" aca="1" ref="HF105" ca="1">IFERROR(IF(HI105="","",TEXT(DAY(HH105)&amp;"/"&amp;MONTH(INDIRECT("HG"&amp;HL105))&amp;"/"&amp;YEAR(INDIRECT("HG"&amp;HL105))+0,"DD/MM/YYYY"))+0,"")</f>
        <v>46047</v>
      </c>
      <c r="HG105" s="1" t="str">
        <f ca="1"/>
        <v>Tarifa Expo</v>
      </c>
      <c r="HH105" s="1">
        <f ca="1"/>
        <v>25</v>
      </c>
      <c r="HI105" s="4">
        <f ca="1"/>
        <v>174636</v>
      </c>
      <c r="HJ105" s="1" t="str">
        <f ca="1"/>
        <v/>
      </c>
      <c r="HK105" s="1" t="str">
        <f ca="1"/>
        <v>SI</v>
      </c>
      <c r="HL105" s="1">
        <f t="shared" ca="1" si="82"/>
        <v>76</v>
      </c>
    </row>
    <row r="106" spans="4:220" x14ac:dyDescent="0.2">
      <c r="H106" s="64">
        <f>+H105+14</f>
        <v>46020</v>
      </c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HF106" s="23" cm="1">
        <f t="array" aca="1" ref="HF106" ca="1">IFERROR(IF(HI106="","",TEXT(DAY(HH106)&amp;"/"&amp;MONTH(INDIRECT("HG"&amp;HL106))&amp;"/"&amp;YEAR(INDIRECT("HG"&amp;HL106))+0,"DD/MM/YYYY"))+0,"")</f>
        <v>46049</v>
      </c>
      <c r="HG106" s="1" t="str">
        <f ca="1"/>
        <v>Prestamo Galicia +</v>
      </c>
      <c r="HH106" s="1">
        <f ca="1"/>
        <v>27</v>
      </c>
      <c r="HI106" s="4">
        <f ca="1"/>
        <v>303014</v>
      </c>
      <c r="HJ106" s="1" t="str">
        <f ca="1"/>
        <v/>
      </c>
      <c r="HK106" s="1" t="str">
        <f ca="1"/>
        <v>SI</v>
      </c>
      <c r="HL106" s="1">
        <f t="shared" ca="1" si="82"/>
        <v>76</v>
      </c>
    </row>
    <row r="107" spans="4:220" x14ac:dyDescent="0.2"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HF107" s="23" t="str" cm="1">
        <f t="array" aca="1" ref="HF107" ca="1">IFERROR(IF(HI107="","",TEXT(DAY(HH107)&amp;"/"&amp;MONTH(INDIRECT("HG"&amp;HL107))&amp;"/"&amp;YEAR(INDIRECT("HG"&amp;HL107))+0,"DD/MM/YYYY"))+0,"")</f>
        <v/>
      </c>
      <c r="HL107" s="1">
        <f t="shared" ca="1" si="82"/>
        <v>76</v>
      </c>
    </row>
    <row r="108" spans="4:220" x14ac:dyDescent="0.2">
      <c r="HF108" s="23" t="str" cm="1">
        <f t="array" aca="1" ref="HF108" ca="1">IFERROR(IF(HI108="","",TEXT(DAY(HH108)&amp;"/"&amp;MONTH(INDIRECT("HG"&amp;HL108))&amp;"/"&amp;YEAR(INDIRECT("HG"&amp;HL108))+0,"DD/MM/YYYY"))+0,"")</f>
        <v/>
      </c>
      <c r="HL108" s="1">
        <f t="shared" ca="1" si="82"/>
        <v>76</v>
      </c>
    </row>
    <row r="109" spans="4:220" x14ac:dyDescent="0.2">
      <c r="HF109" s="23" t="str" cm="1">
        <f t="array" aca="1" ref="HF109" ca="1">IFERROR(IF(HI109="","",TEXT(DAY(HH109)&amp;"/"&amp;MONTH(INDIRECT("HG"&amp;HL109))&amp;"/"&amp;YEAR(INDIRECT("HG"&amp;HL109))+0,"DD/MM/YYYY"))+0,"")</f>
        <v/>
      </c>
      <c r="HL109" s="1">
        <f t="shared" ca="1" si="82"/>
        <v>76</v>
      </c>
    </row>
    <row r="110" spans="4:220" x14ac:dyDescent="0.2">
      <c r="HF110" s="23" t="str" cm="1">
        <f t="array" aca="1" ref="HF110" ca="1">IFERROR(IF(HI110="","",TEXT(DAY(HH110)&amp;"/"&amp;MONTH(INDIRECT("HG"&amp;HL110))&amp;"/"&amp;YEAR(INDIRECT("HG"&amp;HL110))+0,"DD/MM/YYYY"))+0,"")</f>
        <v/>
      </c>
      <c r="HL110" s="1">
        <f t="shared" ca="1" si="82"/>
        <v>76</v>
      </c>
    </row>
    <row r="111" spans="4:220" x14ac:dyDescent="0.2">
      <c r="HF111" s="23" t="str" cm="1">
        <f t="array" aca="1" ref="HF111" ca="1">IFERROR(IF(HI111="","",TEXT(DAY(HH111)&amp;"/"&amp;MONTH(INDIRECT("HG"&amp;HL111))&amp;"/"&amp;YEAR(INDIRECT("HG"&amp;HL111))+0,"DD/MM/YYYY"))+0,"")</f>
        <v/>
      </c>
      <c r="HL111" s="1">
        <f t="shared" ca="1" si="82"/>
        <v>76</v>
      </c>
    </row>
    <row r="112" spans="4:220" x14ac:dyDescent="0.2">
      <c r="HF112" s="23" t="str" cm="1">
        <f t="array" aca="1" ref="HF112" ca="1">IFERROR(IF(HI112="","",TEXT(DAY(HH112)&amp;"/"&amp;MONTH(INDIRECT("HG"&amp;HL112))&amp;"/"&amp;YEAR(INDIRECT("HG"&amp;HL112))+0,"DD/MM/YYYY"))+0,"")</f>
        <v/>
      </c>
      <c r="HL112" s="1">
        <f t="shared" ca="1" si="82"/>
        <v>76</v>
      </c>
    </row>
    <row r="113" spans="214:220" x14ac:dyDescent="0.2">
      <c r="HF113" s="23" t="str" cm="1">
        <f t="array" aca="1" ref="HF113" ca="1">IFERROR(IF(HI113="","",TEXT(DAY(HH113)&amp;"/"&amp;MONTH(INDIRECT("HG"&amp;HL113))&amp;"/"&amp;YEAR(INDIRECT("HG"&amp;HL113))+0,"DD/MM/YYYY"))+0,"")</f>
        <v/>
      </c>
      <c r="HG113" s="44">
        <f>+EDATE(HG76,1)</f>
        <v>46054</v>
      </c>
      <c r="HL113" s="1">
        <f t="shared" si="82"/>
        <v>113</v>
      </c>
    </row>
    <row r="114" spans="214:220" x14ac:dyDescent="0.2">
      <c r="HF114" s="23" cm="1">
        <f t="array" aca="1" ref="HF114" ca="1">IFERROR(IF(HI114="","",TEXT(DAY(HH114)&amp;"/"&amp;MONTH(INDIRECT("HG"&amp;HL114))&amp;"/"&amp;YEAR(INDIRECT("HG"&amp;HL114))+0,"DD/MM/YYYY"))+0,"")</f>
        <v>46054</v>
      </c>
      <c r="HG114" s="1" t="str" cm="1">
        <f t="array" aca="1" ref="HG114:HK142" ca="1">IFERROR(
 _xlfn.LET(
  _xlpm.tabla,$I$3:$BB$43,
  _xlpm.cab,$O$2:$BB$2,
  _xlpm.base,COLUMN($O$2)-COLUMN($I$2)+1,
  _xlpm.k,MATCH(HG113,_xlpm.cab,0),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Movistar</v>
      </c>
      <c r="HH114" s="1">
        <f ca="1"/>
        <v>1</v>
      </c>
      <c r="HI114" s="4">
        <f ca="1"/>
        <v>10350</v>
      </c>
      <c r="HJ114" s="1" t="str">
        <f ca="1"/>
        <v/>
      </c>
      <c r="HK114" s="1" t="str">
        <f ca="1"/>
        <v/>
      </c>
      <c r="HL114" s="1">
        <f t="shared" ca="1" si="82"/>
        <v>113</v>
      </c>
    </row>
    <row r="115" spans="214:220" x14ac:dyDescent="0.2">
      <c r="HF115" s="23" cm="1">
        <f t="array" aca="1" ref="HF115" ca="1">IFERROR(IF(HI115="","",TEXT(DAY(HH115)&amp;"/"&amp;MONTH(INDIRECT("HG"&amp;HL115))&amp;"/"&amp;YEAR(INDIRECT("HG"&amp;HL115))+0,"DD/MM/YYYY"))+0,"")</f>
        <v>46055</v>
      </c>
      <c r="HG115" s="1" t="str">
        <f ca="1"/>
        <v>Tarjeta Galicia - VISA</v>
      </c>
      <c r="HH115" s="1">
        <f ca="1"/>
        <v>2</v>
      </c>
      <c r="HI115" s="4">
        <f ca="1"/>
        <v>1774445.61</v>
      </c>
      <c r="HJ115" s="1" t="str">
        <f ca="1"/>
        <v/>
      </c>
      <c r="HK115" s="1" t="str">
        <f ca="1"/>
        <v>SI</v>
      </c>
      <c r="HL115" s="1">
        <f t="shared" ca="1" si="82"/>
        <v>113</v>
      </c>
    </row>
    <row r="116" spans="214:220" x14ac:dyDescent="0.2">
      <c r="HF116" s="23" cm="1">
        <f t="array" aca="1" ref="HF116" ca="1">IFERROR(IF(HI116="","",TEXT(DAY(HH116)&amp;"/"&amp;MONTH(INDIRECT("HG"&amp;HL116))&amp;"/"&amp;YEAR(INDIRECT("HG"&amp;HL116))+0,"DD/MM/YYYY"))+0,"")</f>
        <v>46055</v>
      </c>
      <c r="HG116" s="1" t="str">
        <f ca="1"/>
        <v>Aseg. Motovehicular</v>
      </c>
      <c r="HH116" s="1">
        <f ca="1"/>
        <v>2</v>
      </c>
      <c r="HI116" s="4">
        <f ca="1"/>
        <v>120145</v>
      </c>
      <c r="HJ116" s="1" t="str">
        <f ca="1"/>
        <v/>
      </c>
      <c r="HK116" s="1" t="str">
        <f ca="1"/>
        <v/>
      </c>
      <c r="HL116" s="1">
        <f t="shared" ca="1" si="82"/>
        <v>113</v>
      </c>
    </row>
    <row r="117" spans="214:220" x14ac:dyDescent="0.2">
      <c r="HF117" s="23" cm="1">
        <f t="array" aca="1" ref="HF117" ca="1">IFERROR(IF(HI117="","",TEXT(DAY(HH117)&amp;"/"&amp;MONTH(INDIRECT("HG"&amp;HL117))&amp;"/"&amp;YEAR(INDIRECT("HG"&amp;HL117))+0,"DD/MM/YYYY"))+0,"")</f>
        <v>46055</v>
      </c>
      <c r="HG117" s="1" t="str">
        <f ca="1"/>
        <v>Personal Flow</v>
      </c>
      <c r="HH117" s="1">
        <f ca="1"/>
        <v>2</v>
      </c>
      <c r="HI117" s="4">
        <f ca="1"/>
        <v>71670</v>
      </c>
      <c r="HJ117" s="1" t="str">
        <f ca="1"/>
        <v/>
      </c>
      <c r="HK117" s="1" t="str">
        <f ca="1"/>
        <v/>
      </c>
      <c r="HL117" s="1">
        <f t="shared" ca="1" si="82"/>
        <v>113</v>
      </c>
    </row>
    <row r="118" spans="214:220" x14ac:dyDescent="0.2">
      <c r="HF118" s="23" cm="1">
        <f t="array" aca="1" ref="HF118" ca="1">IFERROR(IF(HI118="","",TEXT(DAY(HH118)&amp;"/"&amp;MONTH(INDIRECT("HG"&amp;HL118))&amp;"/"&amp;YEAR(INDIRECT("HG"&amp;HL118))+0,"DD/MM/YYYY"))+0,"")</f>
        <v>46058</v>
      </c>
      <c r="HG118" s="1" t="str">
        <f ca="1"/>
        <v>Autonomo</v>
      </c>
      <c r="HH118" s="1">
        <f ca="1"/>
        <v>5</v>
      </c>
      <c r="HI118" s="4">
        <f ca="1"/>
        <v>87936</v>
      </c>
      <c r="HJ118" s="1" t="str">
        <f ca="1"/>
        <v/>
      </c>
      <c r="HK118" s="1" t="str">
        <f ca="1"/>
        <v>SI</v>
      </c>
      <c r="HL118" s="1">
        <f t="shared" ca="1" si="82"/>
        <v>113</v>
      </c>
    </row>
    <row r="119" spans="214:220" x14ac:dyDescent="0.2">
      <c r="HF119" s="23" cm="1">
        <f t="array" aca="1" ref="HF119" ca="1">IFERROR(IF(HI119="","",TEXT(DAY(HH119)&amp;"/"&amp;MONTH(INDIRECT("HG"&amp;HL119))&amp;"/"&amp;YEAR(INDIRECT("HG"&amp;HL119))+0,"DD/MM/YYYY"))+0,"")</f>
        <v>46059</v>
      </c>
      <c r="HG119" s="1" t="str">
        <f ca="1"/>
        <v>Tarjeta Galicia + MASTER</v>
      </c>
      <c r="HH119" s="1">
        <f ca="1"/>
        <v>6</v>
      </c>
      <c r="HI119" s="4">
        <f ca="1"/>
        <v>236.04</v>
      </c>
      <c r="HJ119" s="1">
        <f ca="1"/>
        <v>8.27</v>
      </c>
      <c r="HK119" s="1" t="str">
        <f ca="1"/>
        <v>SI</v>
      </c>
      <c r="HL119" s="1">
        <f t="shared" ca="1" si="82"/>
        <v>113</v>
      </c>
    </row>
    <row r="120" spans="214:220" x14ac:dyDescent="0.2">
      <c r="HF120" s="23" cm="1">
        <f t="array" aca="1" ref="HF120" ca="1">IFERROR(IF(HI120="","",TEXT(DAY(HH120)&amp;"/"&amp;MONTH(INDIRECT("HG"&amp;HL120))&amp;"/"&amp;YEAR(INDIRECT("HG"&amp;HL120))+0,"DD/MM/YYYY"))+0,"")</f>
        <v>46059</v>
      </c>
      <c r="HG120" s="1" t="str">
        <f ca="1"/>
        <v>Tarjeta Santander Rio - VISA</v>
      </c>
      <c r="HH120" s="1">
        <f ca="1"/>
        <v>6</v>
      </c>
      <c r="HI120" s="4">
        <f ca="1"/>
        <v>7337516.5700000003</v>
      </c>
      <c r="HJ120" s="1" t="str">
        <f ca="1"/>
        <v/>
      </c>
      <c r="HK120" s="1" t="str">
        <f ca="1"/>
        <v>SI</v>
      </c>
      <c r="HL120" s="1">
        <f t="shared" ca="1" si="82"/>
        <v>113</v>
      </c>
    </row>
    <row r="121" spans="214:220" x14ac:dyDescent="0.2">
      <c r="HF121" s="23" cm="1">
        <f t="array" aca="1" ref="HF121" ca="1">IFERROR(IF(HI121="","",TEXT(DAY(HH121)&amp;"/"&amp;MONTH(INDIRECT("HG"&amp;HL121))&amp;"/"&amp;YEAR(INDIRECT("HG"&amp;HL121))+0,"DD/MM/YYYY"))+0,"")</f>
        <v>46060</v>
      </c>
      <c r="HG121" s="1" t="str">
        <f ca="1"/>
        <v>Tarjeta ICBC</v>
      </c>
      <c r="HH121" s="1">
        <f ca="1"/>
        <v>7</v>
      </c>
      <c r="HI121" s="4">
        <f ca="1"/>
        <v>75577.73000000001</v>
      </c>
      <c r="HJ121" s="1" t="str">
        <f ca="1"/>
        <v/>
      </c>
      <c r="HK121" s="1" t="str">
        <f ca="1"/>
        <v>SI</v>
      </c>
      <c r="HL121" s="1">
        <f t="shared" ca="1" si="82"/>
        <v>113</v>
      </c>
    </row>
    <row r="122" spans="214:220" x14ac:dyDescent="0.2">
      <c r="HF122" s="23" cm="1">
        <f t="array" aca="1" ref="HF122" ca="1">IFERROR(IF(HI122="","",TEXT(DAY(HH122)&amp;"/"&amp;MONTH(INDIRECT("HG"&amp;HL122))&amp;"/"&amp;YEAR(INDIRECT("HG"&amp;HL122))+0,"DD/MM/YYYY"))+0,"")</f>
        <v>46062</v>
      </c>
      <c r="HG122" s="1" t="str">
        <f ca="1"/>
        <v>Tarjeta Santander Rio - AMEX</v>
      </c>
      <c r="HH122" s="1">
        <f ca="1"/>
        <v>9</v>
      </c>
      <c r="HI122" s="4">
        <f ca="1"/>
        <v>41238.629999999997</v>
      </c>
      <c r="HJ122" s="1" t="str">
        <f ca="1"/>
        <v/>
      </c>
      <c r="HK122" s="1" t="str">
        <f ca="1"/>
        <v>SI</v>
      </c>
      <c r="HL122" s="1">
        <f t="shared" ca="1" si="82"/>
        <v>113</v>
      </c>
    </row>
    <row r="123" spans="214:220" x14ac:dyDescent="0.2">
      <c r="HF123" s="23" cm="1">
        <f t="array" aca="1" ref="HF123" ca="1">IFERROR(IF(HI123="","",TEXT(DAY(HH123)&amp;"/"&amp;MONTH(INDIRECT("HG"&amp;HL123))&amp;"/"&amp;YEAR(INDIRECT("HG"&amp;HL123))+0,"DD/MM/YYYY"))+0,"")</f>
        <v>46063</v>
      </c>
      <c r="HG123" s="1" t="str">
        <f ca="1"/>
        <v>Alquiler Distribuidora</v>
      </c>
      <c r="HH123" s="1">
        <f ca="1"/>
        <v>10</v>
      </c>
      <c r="HI123" s="4">
        <f ca="1"/>
        <v>600000</v>
      </c>
      <c r="HJ123" s="1" t="str">
        <f ca="1"/>
        <v/>
      </c>
      <c r="HK123" s="1" t="str">
        <f ca="1"/>
        <v>SI</v>
      </c>
      <c r="HL123" s="1">
        <f t="shared" ca="1" si="82"/>
        <v>113</v>
      </c>
    </row>
    <row r="124" spans="214:220" x14ac:dyDescent="0.2">
      <c r="HF124" s="23" cm="1">
        <f t="array" aca="1" ref="HF124" ca="1">IFERROR(IF(HI124="","",TEXT(DAY(HH124)&amp;"/"&amp;MONTH(INDIRECT("HG"&amp;HL124))&amp;"/"&amp;YEAR(INDIRECT("HG"&amp;HL124))+0,"DD/MM/YYYY"))+0,"")</f>
        <v>46063</v>
      </c>
      <c r="HG124" s="1" t="str">
        <f ca="1"/>
        <v>Alquiler Casa</v>
      </c>
      <c r="HH124" s="1">
        <f ca="1"/>
        <v>10</v>
      </c>
      <c r="HI124" s="4">
        <f ca="1"/>
        <v>350000</v>
      </c>
      <c r="HJ124" s="1" t="str">
        <f ca="1"/>
        <v/>
      </c>
      <c r="HK124" s="1" t="str">
        <f ca="1"/>
        <v>SI</v>
      </c>
      <c r="HL124" s="1">
        <f t="shared" ca="1" si="82"/>
        <v>113</v>
      </c>
    </row>
    <row r="125" spans="214:220" x14ac:dyDescent="0.2">
      <c r="HF125" s="23" cm="1">
        <f t="array" aca="1" ref="HF125" ca="1">IFERROR(IF(HI125="","",TEXT(DAY(HH125)&amp;"/"&amp;MONTH(INDIRECT("HG"&amp;HL125))&amp;"/"&amp;YEAR(INDIRECT("HG"&amp;HL125))+0,"DD/MM/YYYY"))+0,"")</f>
        <v>46063</v>
      </c>
      <c r="HG125" s="1" t="str">
        <f ca="1"/>
        <v>Mel diseño grafico</v>
      </c>
      <c r="HH125" s="1">
        <f ca="1"/>
        <v>10</v>
      </c>
      <c r="HI125" s="4">
        <f ca="1"/>
        <v>550000</v>
      </c>
      <c r="HJ125" s="1" t="str">
        <f ca="1"/>
        <v/>
      </c>
      <c r="HK125" s="1" t="str">
        <f ca="1"/>
        <v>SI</v>
      </c>
      <c r="HL125" s="1">
        <f t="shared" ca="1" si="82"/>
        <v>113</v>
      </c>
    </row>
    <row r="126" spans="214:220" x14ac:dyDescent="0.2">
      <c r="HF126" s="23" cm="1">
        <f t="array" aca="1" ref="HF126" ca="1">IFERROR(IF(HI126="","",TEXT(DAY(HH126)&amp;"/"&amp;MONTH(INDIRECT("HG"&amp;HL126))&amp;"/"&amp;YEAR(INDIRECT("HG"&amp;HL126))+0,"DD/MM/YYYY"))+0,"")</f>
        <v>46063</v>
      </c>
      <c r="HG126" s="1" t="str">
        <f ca="1"/>
        <v>Contador</v>
      </c>
      <c r="HH126" s="1">
        <f ca="1"/>
        <v>10</v>
      </c>
      <c r="HI126" s="4">
        <f ca="1"/>
        <v>150000</v>
      </c>
      <c r="HJ126" s="1" t="str">
        <f ca="1"/>
        <v/>
      </c>
      <c r="HK126" s="1" t="str">
        <f ca="1"/>
        <v>SI</v>
      </c>
      <c r="HL126" s="1">
        <f t="shared" ca="1" si="82"/>
        <v>113</v>
      </c>
    </row>
    <row r="127" spans="214:220" x14ac:dyDescent="0.2">
      <c r="HF127" s="23" cm="1">
        <f t="array" aca="1" ref="HF127" ca="1">IFERROR(IF(HI127="","",TEXT(DAY(HH127)&amp;"/"&amp;MONTH(INDIRECT("HG"&amp;HL127))&amp;"/"&amp;YEAR(INDIRECT("HG"&amp;HL127))+0,"DD/MM/YYYY"))+0,"")</f>
        <v>46064</v>
      </c>
      <c r="HG127" s="1" t="str">
        <f ca="1"/>
        <v>Personal Flow</v>
      </c>
      <c r="HH127" s="1">
        <f ca="1"/>
        <v>11</v>
      </c>
      <c r="HI127" s="4">
        <f ca="1"/>
        <v>86512</v>
      </c>
      <c r="HJ127" s="1" t="str">
        <f ca="1"/>
        <v/>
      </c>
      <c r="HK127" s="1" t="str">
        <f ca="1"/>
        <v>SI</v>
      </c>
      <c r="HL127" s="1">
        <f t="shared" ca="1" si="82"/>
        <v>113</v>
      </c>
    </row>
    <row r="128" spans="214:220" x14ac:dyDescent="0.2">
      <c r="HF128" s="23" cm="1">
        <f t="array" aca="1" ref="HF128" ca="1">IFERROR(IF(HI128="","",TEXT(DAY(HH128)&amp;"/"&amp;MONTH(INDIRECT("HG"&amp;HL128))&amp;"/"&amp;YEAR(INDIRECT("HG"&amp;HL128))+0,"DD/MM/YYYY"))+0,"")</f>
        <v>46065</v>
      </c>
      <c r="HG128" s="1" t="str">
        <f ca="1"/>
        <v>Cargas Sociales</v>
      </c>
      <c r="HH128" s="1">
        <f ca="1"/>
        <v>12</v>
      </c>
      <c r="HI128" s="4">
        <f ca="1"/>
        <v>860061</v>
      </c>
      <c r="HJ128" s="1" t="str">
        <f ca="1"/>
        <v/>
      </c>
      <c r="HK128" s="1" t="str">
        <f ca="1"/>
        <v>SI</v>
      </c>
      <c r="HL128" s="1">
        <f t="shared" ca="1" si="82"/>
        <v>113</v>
      </c>
    </row>
    <row r="129" spans="214:220" x14ac:dyDescent="0.2">
      <c r="HF129" s="23" cm="1">
        <f t="array" aca="1" ref="HF129" ca="1">IFERROR(IF(HI129="","",TEXT(DAY(HH129)&amp;"/"&amp;MONTH(INDIRECT("HG"&amp;HL129))&amp;"/"&amp;YEAR(INDIRECT("HG"&amp;HL129))+0,"DD/MM/YYYY"))+0,"")</f>
        <v>46066</v>
      </c>
      <c r="HG129" s="1" t="str">
        <f ca="1"/>
        <v>Tarjeta Galicia + VISA</v>
      </c>
      <c r="HH129" s="1">
        <f ca="1"/>
        <v>13</v>
      </c>
      <c r="HI129" s="4">
        <f ca="1"/>
        <v>1036086.27</v>
      </c>
      <c r="HJ129" s="1" t="str">
        <f ca="1"/>
        <v/>
      </c>
      <c r="HK129" s="1" t="str">
        <f ca="1"/>
        <v>SI</v>
      </c>
      <c r="HL129" s="1">
        <f t="shared" ca="1" si="82"/>
        <v>113</v>
      </c>
    </row>
    <row r="130" spans="214:220" x14ac:dyDescent="0.2">
      <c r="HF130" s="23" cm="1">
        <f t="array" aca="1" ref="HF130" ca="1">IFERROR(IF(HI130="","",TEXT(DAY(HH130)&amp;"/"&amp;MONTH(INDIRECT("HG"&amp;HL130))&amp;"/"&amp;YEAR(INDIRECT("HG"&amp;HL130))+0,"DD/MM/YYYY"))+0,"")</f>
        <v>46066</v>
      </c>
      <c r="HG130" s="1" t="str">
        <f ca="1"/>
        <v>Victoria Seguros</v>
      </c>
      <c r="HH130" s="1">
        <f ca="1"/>
        <v>13</v>
      </c>
      <c r="HI130" s="4">
        <f ca="1"/>
        <v>123878</v>
      </c>
      <c r="HJ130" s="1" t="str">
        <f ca="1"/>
        <v/>
      </c>
      <c r="HK130" s="1" t="str">
        <f ca="1"/>
        <v>SI</v>
      </c>
      <c r="HL130" s="1">
        <f t="shared" ca="1" si="82"/>
        <v>113</v>
      </c>
    </row>
    <row r="131" spans="214:220" x14ac:dyDescent="0.2">
      <c r="HF131" s="23" cm="1">
        <f t="array" aca="1" ref="HF131" ca="1">IFERROR(IF(HI131="","",TEXT(DAY(HH131)&amp;"/"&amp;MONTH(INDIRECT("HG"&amp;HL131))&amp;"/"&amp;YEAR(INDIRECT("HG"&amp;HL131))+0,"DD/MM/YYYY"))+0,"")</f>
        <v>46067</v>
      </c>
      <c r="HG131" s="1" t="str">
        <f ca="1"/>
        <v>Prestamo Galicia - SGR</v>
      </c>
      <c r="HH131" s="1">
        <f ca="1"/>
        <v>14</v>
      </c>
      <c r="HI131" s="4">
        <f ca="1"/>
        <v>1582000</v>
      </c>
      <c r="HJ131" s="1" t="str">
        <f ca="1"/>
        <v/>
      </c>
      <c r="HK131" s="1" t="str">
        <f ca="1"/>
        <v>SI</v>
      </c>
      <c r="HL131" s="1">
        <f t="shared" ca="1" si="82"/>
        <v>113</v>
      </c>
    </row>
    <row r="132" spans="214:220" x14ac:dyDescent="0.2">
      <c r="HF132" s="23" cm="1">
        <f t="array" aca="1" ref="HF132" ca="1">IFERROR(IF(HI132="","",TEXT(DAY(HH132)&amp;"/"&amp;MONTH(INDIRECT("HG"&amp;HL132))&amp;"/"&amp;YEAR(INDIRECT("HG"&amp;HL132))+0,"DD/MM/YYYY"))+0,"")</f>
        <v>46069</v>
      </c>
      <c r="HG132" s="1" t="str">
        <f ca="1"/>
        <v>Cuota Facilidades IVA</v>
      </c>
      <c r="HH132" s="1">
        <f ca="1"/>
        <v>16</v>
      </c>
      <c r="HI132" s="4">
        <f ca="1"/>
        <v>446304</v>
      </c>
      <c r="HJ132" s="1" t="str">
        <f ca="1"/>
        <v/>
      </c>
      <c r="HK132" s="1" t="str">
        <f ca="1"/>
        <v>SI</v>
      </c>
      <c r="HL132" s="1">
        <f t="shared" ca="1" si="82"/>
        <v>113</v>
      </c>
    </row>
    <row r="133" spans="214:220" x14ac:dyDescent="0.2">
      <c r="HF133" s="23" cm="1">
        <f t="array" aca="1" ref="HF133" ca="1">IFERROR(IF(HI133="","",TEXT(DAY(HH133)&amp;"/"&amp;MONTH(INDIRECT("HG"&amp;HL133))&amp;"/"&amp;YEAR(INDIRECT("HG"&amp;HL133))+0,"DD/MM/YYYY"))+0,"")</f>
        <v>46069</v>
      </c>
      <c r="HG133" s="1" t="str">
        <f ca="1"/>
        <v>Cuota Facilidades IVA</v>
      </c>
      <c r="HH133" s="1">
        <f ca="1"/>
        <v>16</v>
      </c>
      <c r="HI133" s="4">
        <f ca="1"/>
        <v>410336</v>
      </c>
      <c r="HJ133" s="1" t="str">
        <f ca="1"/>
        <v/>
      </c>
      <c r="HK133" s="1" t="str">
        <f ca="1"/>
        <v>SI</v>
      </c>
      <c r="HL133" s="1">
        <f t="shared" ref="HL133:HL196" ca="1" si="84">+IF(ISNUMBER(HG133),ROW(),HL132)</f>
        <v>113</v>
      </c>
    </row>
    <row r="134" spans="214:220" x14ac:dyDescent="0.2">
      <c r="HF134" s="23" cm="1">
        <f t="array" aca="1" ref="HF134" ca="1">IFERROR(IF(HI134="","",TEXT(DAY(HH134)&amp;"/"&amp;MONTH(INDIRECT("HG"&amp;HL134))&amp;"/"&amp;YEAR(INDIRECT("HG"&amp;HL134))+0,"DD/MM/YYYY"))+0,"")</f>
        <v>46069</v>
      </c>
      <c r="HG134" s="1" t="str">
        <f ca="1"/>
        <v>Monotributo IVAN</v>
      </c>
      <c r="HH134" s="1">
        <f ca="1"/>
        <v>16</v>
      </c>
      <c r="HI134" s="4">
        <f ca="1"/>
        <v>92453</v>
      </c>
      <c r="HJ134" s="1" t="str">
        <f ca="1"/>
        <v/>
      </c>
      <c r="HK134" s="1" t="str">
        <f ca="1"/>
        <v/>
      </c>
      <c r="HL134" s="1">
        <f t="shared" ca="1" si="84"/>
        <v>113</v>
      </c>
    </row>
    <row r="135" spans="214:220" x14ac:dyDescent="0.2">
      <c r="HF135" s="23" cm="1">
        <f t="array" aca="1" ref="HF135" ca="1">IFERROR(IF(HI135="","",TEXT(DAY(HH135)&amp;"/"&amp;MONTH(INDIRECT("HG"&amp;HL135))&amp;"/"&amp;YEAR(INDIRECT("HG"&amp;HL135))+0,"DD/MM/YYYY"))+0,"")</f>
        <v>46069</v>
      </c>
      <c r="HG135" s="1" t="str">
        <f ca="1"/>
        <v>Monotributo Mayeski</v>
      </c>
      <c r="HH135" s="1">
        <f ca="1"/>
        <v>16</v>
      </c>
      <c r="HI135" s="4">
        <f ca="1"/>
        <v>92453</v>
      </c>
      <c r="HJ135" s="1" t="str">
        <f ca="1"/>
        <v/>
      </c>
      <c r="HK135" s="1" t="str">
        <f ca="1"/>
        <v/>
      </c>
      <c r="HL135" s="1">
        <f t="shared" ca="1" si="84"/>
        <v>113</v>
      </c>
    </row>
    <row r="136" spans="214:220" x14ac:dyDescent="0.2">
      <c r="HF136" s="23" cm="1">
        <f t="array" aca="1" ref="HF136" ca="1">IFERROR(IF(HI136="","",TEXT(DAY(HH136)&amp;"/"&amp;MONTH(INDIRECT("HG"&amp;HL136))&amp;"/"&amp;YEAR(INDIRECT("HG"&amp;HL136))+0,"DD/MM/YYYY"))+0,"")</f>
        <v>46069</v>
      </c>
      <c r="HG136" s="1" t="str">
        <f ca="1"/>
        <v>Monotributo David</v>
      </c>
      <c r="HH136" s="1">
        <f ca="1"/>
        <v>16</v>
      </c>
      <c r="HI136" s="4">
        <f ca="1"/>
        <v>75000</v>
      </c>
      <c r="HJ136" s="1" t="str">
        <f ca="1"/>
        <v/>
      </c>
      <c r="HK136" s="1" t="str">
        <f ca="1"/>
        <v/>
      </c>
      <c r="HL136" s="1">
        <f t="shared" ca="1" si="84"/>
        <v>113</v>
      </c>
    </row>
    <row r="137" spans="214:220" x14ac:dyDescent="0.2">
      <c r="HF137" s="23" cm="1">
        <f t="array" aca="1" ref="HF137" ca="1">IFERROR(IF(HI137="","",TEXT(DAY(HH137)&amp;"/"&amp;MONTH(INDIRECT("HG"&amp;HL137))&amp;"/"&amp;YEAR(INDIRECT("HG"&amp;HL137))+0,"DD/MM/YYYY"))+0,"")</f>
        <v>46071</v>
      </c>
      <c r="HG137" s="1" t="str">
        <f ca="1"/>
        <v>Tarjeta Galicia - BUSINESS</v>
      </c>
      <c r="HH137" s="1">
        <f ca="1"/>
        <v>18</v>
      </c>
      <c r="HI137" s="4">
        <f ca="1"/>
        <v>50000</v>
      </c>
      <c r="HJ137" s="1" t="str">
        <f ca="1"/>
        <v/>
      </c>
      <c r="HK137" s="1" t="str">
        <f ca="1"/>
        <v>SI</v>
      </c>
      <c r="HL137" s="1">
        <f t="shared" ca="1" si="84"/>
        <v>113</v>
      </c>
    </row>
    <row r="138" spans="214:220" x14ac:dyDescent="0.2">
      <c r="HF138" s="23" cm="1">
        <f t="array" aca="1" ref="HF138" ca="1">IFERROR(IF(HI138="","",TEXT(DAY(HH138)&amp;"/"&amp;MONTH(INDIRECT("HG"&amp;HL138))&amp;"/"&amp;YEAR(INDIRECT("HG"&amp;HL138))+0,"DD/MM/YYYY"))+0,"")</f>
        <v>46072</v>
      </c>
      <c r="HG138" s="1" t="str">
        <f ca="1"/>
        <v>Prestamo Galicia +</v>
      </c>
      <c r="HH138" s="1">
        <f ca="1"/>
        <v>19</v>
      </c>
      <c r="HI138" s="4">
        <f ca="1"/>
        <v>1316757</v>
      </c>
      <c r="HJ138" s="1" t="str">
        <f ca="1"/>
        <v/>
      </c>
      <c r="HK138" s="1" t="str">
        <f ca="1"/>
        <v>SI</v>
      </c>
      <c r="HL138" s="1">
        <f t="shared" ca="1" si="84"/>
        <v>113</v>
      </c>
    </row>
    <row r="139" spans="214:220" x14ac:dyDescent="0.2">
      <c r="HF139" s="23" cm="1">
        <f t="array" aca="1" ref="HF139" ca="1">IFERROR(IF(HI139="","",TEXT(DAY(HH139)&amp;"/"&amp;MONTH(INDIRECT("HG"&amp;HL139))&amp;"/"&amp;YEAR(INDIRECT("HG"&amp;HL139))+0,"DD/MM/YYYY"))+0,"")</f>
        <v>46073</v>
      </c>
      <c r="HG139" s="1" t="str">
        <f ca="1"/>
        <v>BS Gestion</v>
      </c>
      <c r="HH139" s="1">
        <f ca="1"/>
        <v>20</v>
      </c>
      <c r="HI139" s="4">
        <f ca="1"/>
        <v>400207</v>
      </c>
      <c r="HJ139" s="1" t="str">
        <f ca="1"/>
        <v/>
      </c>
      <c r="HK139" s="1" t="str">
        <f ca="1"/>
        <v>SI</v>
      </c>
      <c r="HL139" s="1">
        <f t="shared" ca="1" si="84"/>
        <v>113</v>
      </c>
    </row>
    <row r="140" spans="214:220" x14ac:dyDescent="0.2">
      <c r="HF140" s="23" cm="1">
        <f t="array" aca="1" ref="HF140" ca="1">IFERROR(IF(HI140="","",TEXT(DAY(HH140)&amp;"/"&amp;MONTH(INDIRECT("HG"&amp;HL140))&amp;"/"&amp;YEAR(INDIRECT("HG"&amp;HL140))+0,"DD/MM/YYYY"))+0,"")</f>
        <v>46075</v>
      </c>
      <c r="HG140" s="1" t="str">
        <f ca="1"/>
        <v>Seguros Rivadavía</v>
      </c>
      <c r="HH140" s="1">
        <f ca="1"/>
        <v>22</v>
      </c>
      <c r="HI140" s="4">
        <f ca="1"/>
        <v>93593</v>
      </c>
      <c r="HJ140" s="1" t="str">
        <f ca="1"/>
        <v/>
      </c>
      <c r="HK140" s="1" t="str">
        <f ca="1"/>
        <v>SI</v>
      </c>
      <c r="HL140" s="1">
        <f t="shared" ca="1" si="84"/>
        <v>113</v>
      </c>
    </row>
    <row r="141" spans="214:220" x14ac:dyDescent="0.2">
      <c r="HF141" s="23" cm="1">
        <f t="array" aca="1" ref="HF141" ca="1">IFERROR(IF(HI141="","",TEXT(DAY(HH141)&amp;"/"&amp;MONTH(INDIRECT("HG"&amp;HL141))&amp;"/"&amp;YEAR(INDIRECT("HG"&amp;HL141))+0,"DD/MM/YYYY"))+0,"")</f>
        <v>46077</v>
      </c>
      <c r="HG141" s="1" t="str">
        <f ca="1"/>
        <v>Prestamo Santander Rio</v>
      </c>
      <c r="HH141" s="1">
        <f ca="1"/>
        <v>24</v>
      </c>
      <c r="HI141" s="4">
        <f ca="1"/>
        <v>872520</v>
      </c>
      <c r="HJ141" s="1" t="str">
        <f ca="1"/>
        <v/>
      </c>
      <c r="HK141" s="1" t="str">
        <f ca="1"/>
        <v>SI</v>
      </c>
      <c r="HL141" s="1">
        <f t="shared" ca="1" si="84"/>
        <v>113</v>
      </c>
    </row>
    <row r="142" spans="214:220" x14ac:dyDescent="0.2">
      <c r="HF142" s="23" cm="1">
        <f t="array" aca="1" ref="HF142" ca="1">IFERROR(IF(HI142="","",TEXT(DAY(HH142)&amp;"/"&amp;MONTH(INDIRECT("HG"&amp;HL142))&amp;"/"&amp;YEAR(INDIRECT("HG"&amp;HL142))+0,"DD/MM/YYYY"))+0,"")</f>
        <v>46080</v>
      </c>
      <c r="HG142" s="1" t="str">
        <f ca="1"/>
        <v>Prestamo Galicia +</v>
      </c>
      <c r="HH142" s="1">
        <f ca="1"/>
        <v>27</v>
      </c>
      <c r="HI142" s="4">
        <f ca="1"/>
        <v>302729</v>
      </c>
      <c r="HJ142" s="1" t="str">
        <f ca="1"/>
        <v/>
      </c>
      <c r="HK142" s="1" t="str">
        <f ca="1"/>
        <v>SI</v>
      </c>
      <c r="HL142" s="1">
        <f t="shared" ca="1" si="84"/>
        <v>113</v>
      </c>
    </row>
    <row r="143" spans="214:220" x14ac:dyDescent="0.2">
      <c r="HF143" s="23" t="str" cm="1">
        <f t="array" aca="1" ref="HF143" ca="1">IFERROR(IF(HI143="","",TEXT(DAY(HH143)&amp;"/"&amp;MONTH(INDIRECT("HG"&amp;HL143))&amp;"/"&amp;YEAR(INDIRECT("HG"&amp;HL143))+0,"DD/MM/YYYY"))+0,"")</f>
        <v/>
      </c>
      <c r="HL143" s="1">
        <f t="shared" ca="1" si="84"/>
        <v>113</v>
      </c>
    </row>
    <row r="144" spans="214:220" x14ac:dyDescent="0.2">
      <c r="HF144" s="23" t="str" cm="1">
        <f t="array" aca="1" ref="HF144" ca="1">IFERROR(IF(HI144="","",TEXT(DAY(HH144)&amp;"/"&amp;MONTH(INDIRECT("HG"&amp;HL144))&amp;"/"&amp;YEAR(INDIRECT("HG"&amp;HL144))+0,"DD/MM/YYYY"))+0,"")</f>
        <v/>
      </c>
      <c r="HL144" s="1">
        <f t="shared" ca="1" si="84"/>
        <v>113</v>
      </c>
    </row>
    <row r="145" spans="214:220" x14ac:dyDescent="0.2">
      <c r="HF145" s="23" t="str" cm="1">
        <f t="array" aca="1" ref="HF145" ca="1">IFERROR(IF(HI145="","",TEXT(DAY(HH145)&amp;"/"&amp;MONTH(INDIRECT("HG"&amp;HL145))&amp;"/"&amp;YEAR(INDIRECT("HG"&amp;HL145))+0,"DD/MM/YYYY"))+0,"")</f>
        <v/>
      </c>
      <c r="HL145" s="1">
        <f t="shared" ca="1" si="84"/>
        <v>113</v>
      </c>
    </row>
    <row r="146" spans="214:220" x14ac:dyDescent="0.2">
      <c r="HF146" s="23" t="str" cm="1">
        <f t="array" aca="1" ref="HF146" ca="1">IFERROR(IF(HI146="","",TEXT(DAY(HH146)&amp;"/"&amp;MONTH(INDIRECT("HG"&amp;HL146))&amp;"/"&amp;YEAR(INDIRECT("HG"&amp;HL146))+0,"DD/MM/YYYY"))+0,"")</f>
        <v/>
      </c>
      <c r="HL146" s="1">
        <f t="shared" ca="1" si="84"/>
        <v>113</v>
      </c>
    </row>
    <row r="147" spans="214:220" x14ac:dyDescent="0.2">
      <c r="HF147" s="23" t="str" cm="1">
        <f t="array" aca="1" ref="HF147" ca="1">IFERROR(IF(HI147="","",TEXT(DAY(HH147)&amp;"/"&amp;MONTH(INDIRECT("HG"&amp;HL147))&amp;"/"&amp;YEAR(INDIRECT("HG"&amp;HL147))+0,"DD/MM/YYYY"))+0,"")</f>
        <v/>
      </c>
      <c r="HL147" s="1">
        <f t="shared" ca="1" si="84"/>
        <v>113</v>
      </c>
    </row>
    <row r="148" spans="214:220" x14ac:dyDescent="0.2">
      <c r="HF148" s="23" t="str" cm="1">
        <f t="array" aca="1" ref="HF148" ca="1">IFERROR(IF(HI148="","",TEXT(DAY(HH148)&amp;"/"&amp;MONTH(INDIRECT("HG"&amp;HL148))&amp;"/"&amp;YEAR(INDIRECT("HG"&amp;HL148))+0,"DD/MM/YYYY"))+0,"")</f>
        <v/>
      </c>
      <c r="HL148" s="1">
        <f t="shared" ca="1" si="84"/>
        <v>113</v>
      </c>
    </row>
    <row r="149" spans="214:220" x14ac:dyDescent="0.2">
      <c r="HF149" s="23" t="str" cm="1">
        <f t="array" aca="1" ref="HF149" ca="1">IFERROR(IF(HI149="","",TEXT(DAY(HH149)&amp;"/"&amp;MONTH(INDIRECT("HG"&amp;HL149))&amp;"/"&amp;YEAR(INDIRECT("HG"&amp;HL149))+0,"DD/MM/YYYY"))+0,"")</f>
        <v/>
      </c>
      <c r="HL149" s="1">
        <f t="shared" ca="1" si="84"/>
        <v>113</v>
      </c>
    </row>
    <row r="150" spans="214:220" x14ac:dyDescent="0.2">
      <c r="HF150" s="23" t="str" cm="1">
        <f t="array" aca="1" ref="HF150" ca="1">IFERROR(IF(HI150="","",TEXT(DAY(HH150)&amp;"/"&amp;MONTH(INDIRECT("HG"&amp;HL150))&amp;"/"&amp;YEAR(INDIRECT("HG"&amp;HL150))+0,"DD/MM/YYYY"))+0,"")</f>
        <v/>
      </c>
      <c r="HL150" s="1">
        <f t="shared" ca="1" si="84"/>
        <v>113</v>
      </c>
    </row>
    <row r="151" spans="214:220" x14ac:dyDescent="0.2">
      <c r="HF151" s="23" t="str" cm="1">
        <f t="array" aca="1" ref="HF151" ca="1">IFERROR(IF(HI151="","",TEXT(DAY(HH151)&amp;"/"&amp;MONTH(INDIRECT("HG"&amp;HL151))&amp;"/"&amp;YEAR(INDIRECT("HG"&amp;HL151))+0,"DD/MM/YYYY"))+0,"")</f>
        <v/>
      </c>
      <c r="HG151" s="44">
        <f>+EDATE(HG113,1)</f>
        <v>46082</v>
      </c>
      <c r="HL151" s="1">
        <f t="shared" si="84"/>
        <v>151</v>
      </c>
    </row>
    <row r="152" spans="214:220" x14ac:dyDescent="0.2">
      <c r="HF152" s="23" cm="1">
        <f t="array" aca="1" ref="HF152" ca="1">IFERROR(IF(HI152="","",TEXT(DAY(HH152)&amp;"/"&amp;MONTH(INDIRECT("HG"&amp;HL152))&amp;"/"&amp;YEAR(INDIRECT("HG"&amp;HL152))+0,"DD/MM/YYYY"))+0,"")</f>
        <v>46082</v>
      </c>
      <c r="HG152" s="1" t="str" cm="1">
        <f t="array" aca="1" ref="HG152:HK179" ca="1">IFERROR(
 _xlfn.LET(
  _xlpm.tabla,$I$3:$BB$43,
  _xlpm.cab,$O$2:$BB$2,
  _xlpm.base,COLUMN($O$2)-COLUMN($I$2)+1,
  _xlpm.k,MATCH(HG151,_xlpm.cab,0),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Movistar</v>
      </c>
      <c r="HH152" s="1">
        <f ca="1"/>
        <v>1</v>
      </c>
      <c r="HI152" s="4">
        <f ca="1"/>
        <v>10350</v>
      </c>
      <c r="HJ152" s="1" t="str">
        <f ca="1"/>
        <v/>
      </c>
      <c r="HK152" s="1" t="str">
        <f ca="1"/>
        <v/>
      </c>
      <c r="HL152" s="1">
        <f t="shared" ca="1" si="84"/>
        <v>151</v>
      </c>
    </row>
    <row r="153" spans="214:220" x14ac:dyDescent="0.2">
      <c r="HF153" s="23" cm="1">
        <f t="array" aca="1" ref="HF153" ca="1">IFERROR(IF(HI153="","",TEXT(DAY(HH153)&amp;"/"&amp;MONTH(INDIRECT("HG"&amp;HL153))&amp;"/"&amp;YEAR(INDIRECT("HG"&amp;HL153))+0,"DD/MM/YYYY"))+0,"")</f>
        <v>46083</v>
      </c>
      <c r="HG153" s="1" t="str">
        <f ca="1"/>
        <v>Tarjeta Galicia - VISA</v>
      </c>
      <c r="HH153" s="1">
        <f ca="1"/>
        <v>2</v>
      </c>
      <c r="HI153" s="4">
        <f ca="1"/>
        <v>1077646.26</v>
      </c>
      <c r="HJ153" s="1" t="str">
        <f ca="1"/>
        <v/>
      </c>
      <c r="HK153" s="1" t="str">
        <f ca="1"/>
        <v>SI</v>
      </c>
      <c r="HL153" s="1">
        <f t="shared" ca="1" si="84"/>
        <v>151</v>
      </c>
    </row>
    <row r="154" spans="214:220" x14ac:dyDescent="0.2">
      <c r="HF154" s="23" cm="1">
        <f t="array" aca="1" ref="HF154" ca="1">IFERROR(IF(HI154="","",TEXT(DAY(HH154)&amp;"/"&amp;MONTH(INDIRECT("HG"&amp;HL154))&amp;"/"&amp;YEAR(INDIRECT("HG"&amp;HL154))+0,"DD/MM/YYYY"))+0,"")</f>
        <v>46083</v>
      </c>
      <c r="HG154" s="1" t="str">
        <f ca="1"/>
        <v>Aseg. Motovehicular</v>
      </c>
      <c r="HH154" s="1">
        <f ca="1"/>
        <v>2</v>
      </c>
      <c r="HI154" s="4">
        <f ca="1"/>
        <v>130111</v>
      </c>
      <c r="HJ154" s="1" t="str">
        <f ca="1"/>
        <v/>
      </c>
      <c r="HK154" s="1" t="str">
        <f ca="1"/>
        <v>SI</v>
      </c>
      <c r="HL154" s="1">
        <f t="shared" ca="1" si="84"/>
        <v>151</v>
      </c>
    </row>
    <row r="155" spans="214:220" x14ac:dyDescent="0.2">
      <c r="HF155" s="23" cm="1">
        <f t="array" aca="1" ref="HF155" ca="1">IFERROR(IF(HI155="","",TEXT(DAY(HH155)&amp;"/"&amp;MONTH(INDIRECT("HG"&amp;HL155))&amp;"/"&amp;YEAR(INDIRECT("HG"&amp;HL155))+0,"DD/MM/YYYY"))+0,"")</f>
        <v>46083</v>
      </c>
      <c r="HG155" s="1" t="str">
        <f ca="1"/>
        <v>Personal Flow</v>
      </c>
      <c r="HH155" s="1">
        <f ca="1"/>
        <v>2</v>
      </c>
      <c r="HI155" s="4">
        <f ca="1"/>
        <v>71670</v>
      </c>
      <c r="HJ155" s="1" t="str">
        <f ca="1"/>
        <v/>
      </c>
      <c r="HK155" s="1" t="str">
        <f ca="1"/>
        <v/>
      </c>
      <c r="HL155" s="1">
        <f t="shared" ca="1" si="84"/>
        <v>151</v>
      </c>
    </row>
    <row r="156" spans="214:220" x14ac:dyDescent="0.2">
      <c r="HF156" s="23" cm="1">
        <f t="array" aca="1" ref="HF156" ca="1">IFERROR(IF(HI156="","",TEXT(DAY(HH156)&amp;"/"&amp;MONTH(INDIRECT("HG"&amp;HL156))&amp;"/"&amp;YEAR(INDIRECT("HG"&amp;HL156))+0,"DD/MM/YYYY"))+0,"")</f>
        <v>46084</v>
      </c>
      <c r="HG156" s="1" t="str">
        <f ca="1"/>
        <v>Monotributo IVAN</v>
      </c>
      <c r="HH156" s="1">
        <f ca="1"/>
        <v>3</v>
      </c>
      <c r="HI156" s="4">
        <f ca="1"/>
        <v>105029</v>
      </c>
      <c r="HJ156" s="1" t="str">
        <f ca="1"/>
        <v/>
      </c>
      <c r="HK156" s="1" t="str">
        <f ca="1"/>
        <v>SI</v>
      </c>
      <c r="HL156" s="1">
        <f t="shared" ca="1" si="84"/>
        <v>151</v>
      </c>
    </row>
    <row r="157" spans="214:220" x14ac:dyDescent="0.2">
      <c r="HF157" s="23" cm="1">
        <f t="array" aca="1" ref="HF157" ca="1">IFERROR(IF(HI157="","",TEXT(DAY(HH157)&amp;"/"&amp;MONTH(INDIRECT("HG"&amp;HL157))&amp;"/"&amp;YEAR(INDIRECT("HG"&amp;HL157))+0,"DD/MM/YYYY"))+0,"")</f>
        <v>46084</v>
      </c>
      <c r="HG157" s="1" t="str">
        <f ca="1"/>
        <v>Monotributo Mayeski</v>
      </c>
      <c r="HH157" s="1">
        <f ca="1"/>
        <v>3</v>
      </c>
      <c r="HI157" s="4">
        <f ca="1"/>
        <v>105029</v>
      </c>
      <c r="HJ157" s="1" t="str">
        <f ca="1"/>
        <v/>
      </c>
      <c r="HK157" s="1" t="str">
        <f ca="1"/>
        <v>SI</v>
      </c>
      <c r="HL157" s="1">
        <f t="shared" ca="1" si="84"/>
        <v>151</v>
      </c>
    </row>
    <row r="158" spans="214:220" x14ac:dyDescent="0.2">
      <c r="HF158" s="23" cm="1">
        <f t="array" aca="1" ref="HF158" ca="1">IFERROR(IF(HI158="","",TEXT(DAY(HH158)&amp;"/"&amp;MONTH(INDIRECT("HG"&amp;HL158))&amp;"/"&amp;YEAR(INDIRECT("HG"&amp;HL158))+0,"DD/MM/YYYY"))+0,"")</f>
        <v>46084</v>
      </c>
      <c r="HG158" s="1" t="str">
        <f ca="1"/>
        <v>Monotributo David</v>
      </c>
      <c r="HH158" s="1">
        <f ca="1"/>
        <v>3</v>
      </c>
      <c r="HI158" s="4">
        <f ca="1"/>
        <v>85000</v>
      </c>
      <c r="HJ158" s="1" t="str">
        <f ca="1"/>
        <v/>
      </c>
      <c r="HK158" s="1" t="str">
        <f ca="1"/>
        <v>SI</v>
      </c>
      <c r="HL158" s="1">
        <f t="shared" ca="1" si="84"/>
        <v>151</v>
      </c>
    </row>
    <row r="159" spans="214:220" x14ac:dyDescent="0.2">
      <c r="HF159" s="23" cm="1">
        <f t="array" aca="1" ref="HF159" ca="1">IFERROR(IF(HI159="","",TEXT(DAY(HH159)&amp;"/"&amp;MONTH(INDIRECT("HG"&amp;HL159))&amp;"/"&amp;YEAR(INDIRECT("HG"&amp;HL159))+0,"DD/MM/YYYY"))+0,"")</f>
        <v>46086</v>
      </c>
      <c r="HG159" s="1" t="str">
        <f ca="1"/>
        <v>Autonomo</v>
      </c>
      <c r="HH159" s="1">
        <f ca="1"/>
        <v>5</v>
      </c>
      <c r="HI159" s="4">
        <f ca="1"/>
        <v>90342</v>
      </c>
      <c r="HJ159" s="1" t="str">
        <f ca="1"/>
        <v/>
      </c>
      <c r="HK159" s="1" t="str">
        <f ca="1"/>
        <v>SI</v>
      </c>
      <c r="HL159" s="1">
        <f t="shared" ca="1" si="84"/>
        <v>151</v>
      </c>
    </row>
    <row r="160" spans="214:220" x14ac:dyDescent="0.2">
      <c r="HF160" s="23" cm="1">
        <f t="array" aca="1" ref="HF160" ca="1">IFERROR(IF(HI160="","",TEXT(DAY(HH160)&amp;"/"&amp;MONTH(INDIRECT("HG"&amp;HL160))&amp;"/"&amp;YEAR(INDIRECT("HG"&amp;HL160))+0,"DD/MM/YYYY"))+0,"")</f>
        <v>46087</v>
      </c>
      <c r="HG160" s="1" t="str">
        <f ca="1"/>
        <v>Tarjeta Santander Rio - VISA</v>
      </c>
      <c r="HH160" s="1">
        <f ca="1"/>
        <v>6</v>
      </c>
      <c r="HI160" s="4">
        <f ca="1"/>
        <v>1740510.97</v>
      </c>
      <c r="HJ160" s="1" t="str">
        <f ca="1"/>
        <v/>
      </c>
      <c r="HK160" s="1" t="str">
        <f ca="1"/>
        <v>SI</v>
      </c>
      <c r="HL160" s="1">
        <f t="shared" ca="1" si="84"/>
        <v>151</v>
      </c>
    </row>
    <row r="161" spans="214:220" x14ac:dyDescent="0.2">
      <c r="HF161" s="23" cm="1">
        <f t="array" aca="1" ref="HF161" ca="1">IFERROR(IF(HI161="","",TEXT(DAY(HH161)&amp;"/"&amp;MONTH(INDIRECT("HG"&amp;HL161))&amp;"/"&amp;YEAR(INDIRECT("HG"&amp;HL161))+0,"DD/MM/YYYY"))+0,"")</f>
        <v>46088</v>
      </c>
      <c r="HG161" s="1" t="str">
        <f ca="1"/>
        <v>Tarjeta ICBC</v>
      </c>
      <c r="HH161" s="1">
        <f ca="1"/>
        <v>7</v>
      </c>
      <c r="HI161" s="4">
        <f ca="1"/>
        <v>40577.730000000003</v>
      </c>
      <c r="HJ161" s="1" t="str">
        <f ca="1"/>
        <v/>
      </c>
      <c r="HK161" s="1" t="str">
        <f ca="1"/>
        <v/>
      </c>
      <c r="HL161" s="1">
        <f t="shared" ca="1" si="84"/>
        <v>151</v>
      </c>
    </row>
    <row r="162" spans="214:220" x14ac:dyDescent="0.2">
      <c r="HF162" s="23" cm="1">
        <f t="array" aca="1" ref="HF162" ca="1">IFERROR(IF(HI162="","",TEXT(DAY(HH162)&amp;"/"&amp;MONTH(INDIRECT("HG"&amp;HL162))&amp;"/"&amp;YEAR(INDIRECT("HG"&amp;HL162))+0,"DD/MM/YYYY"))+0,"")</f>
        <v>46090</v>
      </c>
      <c r="HG162" s="1" t="str">
        <f ca="1"/>
        <v>Tarjeta Santander Rio - AMEX</v>
      </c>
      <c r="HH162" s="1">
        <f ca="1"/>
        <v>9</v>
      </c>
      <c r="HI162" s="4">
        <f ca="1"/>
        <v>41238</v>
      </c>
      <c r="HJ162" s="1" t="str">
        <f ca="1"/>
        <v/>
      </c>
      <c r="HK162" s="1" t="str">
        <f ca="1"/>
        <v>SI</v>
      </c>
      <c r="HL162" s="1">
        <f t="shared" ca="1" si="84"/>
        <v>151</v>
      </c>
    </row>
    <row r="163" spans="214:220" x14ac:dyDescent="0.2">
      <c r="HF163" s="23" cm="1">
        <f t="array" aca="1" ref="HF163" ca="1">IFERROR(IF(HI163="","",TEXT(DAY(HH163)&amp;"/"&amp;MONTH(INDIRECT("HG"&amp;HL163))&amp;"/"&amp;YEAR(INDIRECT("HG"&amp;HL163))+0,"DD/MM/YYYY"))+0,"")</f>
        <v>46091</v>
      </c>
      <c r="HG163" s="1" t="str">
        <f ca="1"/>
        <v>Alquiler Distribuidora</v>
      </c>
      <c r="HH163" s="1">
        <f ca="1"/>
        <v>10</v>
      </c>
      <c r="HI163" s="4">
        <f ca="1"/>
        <v>600000</v>
      </c>
      <c r="HJ163" s="1" t="str">
        <f ca="1"/>
        <v/>
      </c>
      <c r="HK163" s="1" t="str">
        <f ca="1"/>
        <v>SI</v>
      </c>
      <c r="HL163" s="1">
        <f t="shared" ca="1" si="84"/>
        <v>151</v>
      </c>
    </row>
    <row r="164" spans="214:220" x14ac:dyDescent="0.2">
      <c r="HF164" s="23" cm="1">
        <f t="array" aca="1" ref="HF164" ca="1">IFERROR(IF(HI164="","",TEXT(DAY(HH164)&amp;"/"&amp;MONTH(INDIRECT("HG"&amp;HL164))&amp;"/"&amp;YEAR(INDIRECT("HG"&amp;HL164))+0,"DD/MM/YYYY"))+0,"")</f>
        <v>46091</v>
      </c>
      <c r="HG164" s="1" t="str">
        <f ca="1"/>
        <v>Alquiler Casa</v>
      </c>
      <c r="HH164" s="1">
        <f ca="1"/>
        <v>10</v>
      </c>
      <c r="HI164" s="4">
        <f ca="1"/>
        <v>350000</v>
      </c>
      <c r="HJ164" s="1" t="str">
        <f ca="1"/>
        <v/>
      </c>
      <c r="HK164" s="1" t="str">
        <f ca="1"/>
        <v>SI</v>
      </c>
      <c r="HL164" s="1">
        <f t="shared" ca="1" si="84"/>
        <v>151</v>
      </c>
    </row>
    <row r="165" spans="214:220" x14ac:dyDescent="0.2">
      <c r="HF165" s="23" cm="1">
        <f t="array" aca="1" ref="HF165" ca="1">IFERROR(IF(HI165="","",TEXT(DAY(HH165)&amp;"/"&amp;MONTH(INDIRECT("HG"&amp;HL165))&amp;"/"&amp;YEAR(INDIRECT("HG"&amp;HL165))+0,"DD/MM/YYYY"))+0,"")</f>
        <v>46091</v>
      </c>
      <c r="HG165" s="1" t="str">
        <f ca="1"/>
        <v>Mel diseño grafico</v>
      </c>
      <c r="HH165" s="1">
        <f ca="1"/>
        <v>10</v>
      </c>
      <c r="HI165" s="4">
        <f ca="1"/>
        <v>425000</v>
      </c>
      <c r="HJ165" s="1" t="str">
        <f ca="1"/>
        <v/>
      </c>
      <c r="HK165" s="1" t="str">
        <f ca="1"/>
        <v>SI</v>
      </c>
      <c r="HL165" s="1">
        <f t="shared" ca="1" si="84"/>
        <v>151</v>
      </c>
    </row>
    <row r="166" spans="214:220" x14ac:dyDescent="0.2">
      <c r="HF166" s="23" cm="1">
        <f t="array" aca="1" ref="HF166" ca="1">IFERROR(IF(HI166="","",TEXT(DAY(HH166)&amp;"/"&amp;MONTH(INDIRECT("HG"&amp;HL166))&amp;"/"&amp;YEAR(INDIRECT("HG"&amp;HL166))+0,"DD/MM/YYYY"))+0,"")</f>
        <v>46091</v>
      </c>
      <c r="HG166" s="1" t="str">
        <f ca="1"/>
        <v>Contador</v>
      </c>
      <c r="HH166" s="1">
        <f ca="1"/>
        <v>10</v>
      </c>
      <c r="HI166" s="4">
        <f ca="1"/>
        <v>150000</v>
      </c>
      <c r="HJ166" s="1" t="str">
        <f ca="1"/>
        <v/>
      </c>
      <c r="HK166" s="1" t="str">
        <f ca="1"/>
        <v>SI</v>
      </c>
      <c r="HL166" s="1">
        <f t="shared" ca="1" si="84"/>
        <v>151</v>
      </c>
    </row>
    <row r="167" spans="214:220" x14ac:dyDescent="0.2">
      <c r="HF167" s="23" cm="1">
        <f t="array" aca="1" ref="HF167" ca="1">IFERROR(IF(HI167="","",TEXT(DAY(HH167)&amp;"/"&amp;MONTH(INDIRECT("HG"&amp;HL167))&amp;"/"&amp;YEAR(INDIRECT("HG"&amp;HL167))+0,"DD/MM/YYYY"))+0,"")</f>
        <v>46091</v>
      </c>
      <c r="HG167" s="1" t="str">
        <f ca="1"/>
        <v>Victoria Seguros</v>
      </c>
      <c r="HH167" s="1">
        <f ca="1"/>
        <v>10</v>
      </c>
      <c r="HI167" s="4">
        <f ca="1"/>
        <v>123878</v>
      </c>
      <c r="HJ167" s="1" t="str">
        <f ca="1"/>
        <v/>
      </c>
      <c r="HK167" s="1" t="str">
        <f ca="1"/>
        <v>SI</v>
      </c>
      <c r="HL167" s="1">
        <f t="shared" ca="1" si="84"/>
        <v>151</v>
      </c>
    </row>
    <row r="168" spans="214:220" x14ac:dyDescent="0.2">
      <c r="HF168" s="23" cm="1">
        <f t="array" aca="1" ref="HF168" ca="1">IFERROR(IF(HI168="","",TEXT(DAY(HH168)&amp;"/"&amp;MONTH(INDIRECT("HG"&amp;HL168))&amp;"/"&amp;YEAR(INDIRECT("HG"&amp;HL168))+0,"DD/MM/YYYY"))+0,"")</f>
        <v>46093</v>
      </c>
      <c r="HG168" s="1" t="str">
        <f ca="1"/>
        <v>Cargas Sociales</v>
      </c>
      <c r="HH168" s="1">
        <f ca="1"/>
        <v>12</v>
      </c>
      <c r="HI168" s="4">
        <f ca="1"/>
        <v>860061</v>
      </c>
      <c r="HJ168" s="1" t="str">
        <f ca="1"/>
        <v/>
      </c>
      <c r="HK168" s="1" t="str">
        <f ca="1"/>
        <v>SI</v>
      </c>
      <c r="HL168" s="1">
        <f t="shared" ca="1" si="84"/>
        <v>151</v>
      </c>
    </row>
    <row r="169" spans="214:220" x14ac:dyDescent="0.2">
      <c r="HF169" s="23" cm="1">
        <f t="array" aca="1" ref="HF169" ca="1">IFERROR(IF(HI169="","",TEXT(DAY(HH169)&amp;"/"&amp;MONTH(INDIRECT("HG"&amp;HL169))&amp;"/"&amp;YEAR(INDIRECT("HG"&amp;HL169))+0,"DD/MM/YYYY"))+0,"")</f>
        <v>46094</v>
      </c>
      <c r="HG169" s="1" t="str">
        <f ca="1"/>
        <v>Tarjeta Galicia + VISA</v>
      </c>
      <c r="HH169" s="1">
        <f ca="1"/>
        <v>13</v>
      </c>
      <c r="HI169" s="4">
        <f ca="1"/>
        <v>980078.13</v>
      </c>
      <c r="HJ169" s="1" t="str">
        <f ca="1"/>
        <v/>
      </c>
      <c r="HK169" s="1" t="str">
        <f ca="1"/>
        <v>SI</v>
      </c>
      <c r="HL169" s="1">
        <f t="shared" ca="1" si="84"/>
        <v>151</v>
      </c>
    </row>
    <row r="170" spans="214:220" x14ac:dyDescent="0.2">
      <c r="HF170" s="23" cm="1">
        <f t="array" aca="1" ref="HF170" ca="1">IFERROR(IF(HI170="","",TEXT(DAY(HH170)&amp;"/"&amp;MONTH(INDIRECT("HG"&amp;HL170))&amp;"/"&amp;YEAR(INDIRECT("HG"&amp;HL170))+0,"DD/MM/YYYY"))+0,"")</f>
        <v>46095</v>
      </c>
      <c r="HG170" s="1" t="str">
        <f ca="1"/>
        <v>Prestamo Galicia - SGR</v>
      </c>
      <c r="HH170" s="1">
        <f ca="1"/>
        <v>14</v>
      </c>
      <c r="HI170" s="4">
        <f ca="1"/>
        <v>1582000</v>
      </c>
      <c r="HJ170" s="1" t="str">
        <f ca="1"/>
        <v/>
      </c>
      <c r="HK170" s="1" t="str">
        <f ca="1"/>
        <v>SI</v>
      </c>
      <c r="HL170" s="1">
        <f t="shared" ca="1" si="84"/>
        <v>151</v>
      </c>
    </row>
    <row r="171" spans="214:220" x14ac:dyDescent="0.2">
      <c r="HF171" s="23" cm="1">
        <f t="array" aca="1" ref="HF171" ca="1">IFERROR(IF(HI171="","",TEXT(DAY(HH171)&amp;"/"&amp;MONTH(INDIRECT("HG"&amp;HL171))&amp;"/"&amp;YEAR(INDIRECT("HG"&amp;HL171))+0,"DD/MM/YYYY"))+0,"")</f>
        <v>46097</v>
      </c>
      <c r="HG171" s="1" t="str">
        <f ca="1"/>
        <v>Cuota Facilidades IVA</v>
      </c>
      <c r="HH171" s="1">
        <f ca="1"/>
        <v>16</v>
      </c>
      <c r="HI171" s="4">
        <f ca="1"/>
        <v>446304</v>
      </c>
      <c r="HJ171" s="1" t="str">
        <f ca="1"/>
        <v/>
      </c>
      <c r="HK171" s="1" t="str">
        <f ca="1"/>
        <v>SI</v>
      </c>
      <c r="HL171" s="1">
        <f t="shared" ca="1" si="84"/>
        <v>151</v>
      </c>
    </row>
    <row r="172" spans="214:220" x14ac:dyDescent="0.2">
      <c r="HF172" s="23" cm="1">
        <f t="array" aca="1" ref="HF172" ca="1">IFERROR(IF(HI172="","",TEXT(DAY(HH172)&amp;"/"&amp;MONTH(INDIRECT("HG"&amp;HL172))&amp;"/"&amp;YEAR(INDIRECT("HG"&amp;HL172))+0,"DD/MM/YYYY"))+0,"")</f>
        <v>46097</v>
      </c>
      <c r="HG172" s="1" t="str">
        <f ca="1"/>
        <v>Cuota Facilidades IVA</v>
      </c>
      <c r="HH172" s="1">
        <f ca="1"/>
        <v>16</v>
      </c>
      <c r="HI172" s="4">
        <f ca="1"/>
        <v>410336</v>
      </c>
      <c r="HJ172" s="1" t="str">
        <f ca="1"/>
        <v/>
      </c>
      <c r="HK172" s="1" t="str">
        <f ca="1"/>
        <v>SI</v>
      </c>
      <c r="HL172" s="1">
        <f t="shared" ca="1" si="84"/>
        <v>151</v>
      </c>
    </row>
    <row r="173" spans="214:220" x14ac:dyDescent="0.2">
      <c r="HF173" s="23" cm="1">
        <f t="array" aca="1" ref="HF173" ca="1">IFERROR(IF(HI173="","",TEXT(DAY(HH173)&amp;"/"&amp;MONTH(INDIRECT("HG"&amp;HL173))&amp;"/"&amp;YEAR(INDIRECT("HG"&amp;HL173))+0,"DD/MM/YYYY"))+0,"")</f>
        <v>46097</v>
      </c>
      <c r="HG173" s="1" t="str">
        <f ca="1"/>
        <v>Personal Flow</v>
      </c>
      <c r="HH173" s="1">
        <f ca="1"/>
        <v>16</v>
      </c>
      <c r="HI173" s="4">
        <f ca="1"/>
        <v>89083</v>
      </c>
      <c r="HJ173" s="1" t="str">
        <f ca="1"/>
        <v/>
      </c>
      <c r="HK173" s="1" t="str">
        <f ca="1"/>
        <v>SI</v>
      </c>
      <c r="HL173" s="1">
        <f t="shared" ca="1" si="84"/>
        <v>151</v>
      </c>
    </row>
    <row r="174" spans="214:220" x14ac:dyDescent="0.2">
      <c r="HF174" s="23" cm="1">
        <f t="array" aca="1" ref="HF174" ca="1">IFERROR(IF(HI174="","",TEXT(DAY(HH174)&amp;"/"&amp;MONTH(INDIRECT("HG"&amp;HL174))&amp;"/"&amp;YEAR(INDIRECT("HG"&amp;HL174))+0,"DD/MM/YYYY"))+0,"")</f>
        <v>46097</v>
      </c>
      <c r="HG174" s="1" t="str">
        <f ca="1"/>
        <v>Tarjeta Galicia - BUSINESS</v>
      </c>
      <c r="HH174" s="1">
        <f ca="1"/>
        <v>16</v>
      </c>
      <c r="HI174" s="4">
        <f ca="1"/>
        <v>531246</v>
      </c>
      <c r="HJ174" s="1" t="str">
        <f ca="1"/>
        <v/>
      </c>
      <c r="HK174" s="1" t="str">
        <f ca="1"/>
        <v>SI</v>
      </c>
      <c r="HL174" s="1">
        <f t="shared" ca="1" si="84"/>
        <v>151</v>
      </c>
    </row>
    <row r="175" spans="214:220" x14ac:dyDescent="0.2">
      <c r="HF175" s="23" cm="1">
        <f t="array" aca="1" ref="HF175" ca="1">IFERROR(IF(HI175="","",TEXT(DAY(HH175)&amp;"/"&amp;MONTH(INDIRECT("HG"&amp;HL175))&amp;"/"&amp;YEAR(INDIRECT("HG"&amp;HL175))+0,"DD/MM/YYYY"))+0,"")</f>
        <v>46100</v>
      </c>
      <c r="HG175" s="1" t="str">
        <f ca="1"/>
        <v>Prestamo Galicia +</v>
      </c>
      <c r="HH175" s="1">
        <f ca="1"/>
        <v>19</v>
      </c>
      <c r="HI175" s="4">
        <f ca="1"/>
        <v>1316757</v>
      </c>
      <c r="HJ175" s="1" t="str">
        <f ca="1"/>
        <v/>
      </c>
      <c r="HK175" s="1" t="str">
        <f ca="1"/>
        <v>SI</v>
      </c>
      <c r="HL175" s="1">
        <f t="shared" ca="1" si="84"/>
        <v>151</v>
      </c>
    </row>
    <row r="176" spans="214:220" x14ac:dyDescent="0.2">
      <c r="HF176" s="23" cm="1">
        <f t="array" aca="1" ref="HF176" ca="1">IFERROR(IF(HI176="","",TEXT(DAY(HH176)&amp;"/"&amp;MONTH(INDIRECT("HG"&amp;HL176))&amp;"/"&amp;YEAR(INDIRECT("HG"&amp;HL176))+0,"DD/MM/YYYY"))+0,"")</f>
        <v>46101</v>
      </c>
      <c r="HG176" s="1" t="str">
        <f ca="1"/>
        <v>BS Gestion</v>
      </c>
      <c r="HH176" s="1">
        <f ca="1"/>
        <v>20</v>
      </c>
      <c r="HI176" s="4">
        <f ca="1"/>
        <v>390678</v>
      </c>
      <c r="HJ176" s="1" t="str">
        <f ca="1"/>
        <v/>
      </c>
      <c r="HK176" s="1" t="str">
        <f ca="1"/>
        <v>SI</v>
      </c>
      <c r="HL176" s="1">
        <f t="shared" ca="1" si="84"/>
        <v>151</v>
      </c>
    </row>
    <row r="177" spans="214:220" x14ac:dyDescent="0.2">
      <c r="HF177" s="23" cm="1">
        <f t="array" aca="1" ref="HF177" ca="1">IFERROR(IF(HI177="","",TEXT(DAY(HH177)&amp;"/"&amp;MONTH(INDIRECT("HG"&amp;HL177))&amp;"/"&amp;YEAR(INDIRECT("HG"&amp;HL177))+0,"DD/MM/YYYY"))+0,"")</f>
        <v>46103</v>
      </c>
      <c r="HG177" s="1" t="str">
        <f ca="1"/>
        <v>Seguros Rivadavía</v>
      </c>
      <c r="HH177" s="1">
        <f ca="1"/>
        <v>22</v>
      </c>
      <c r="HI177" s="4">
        <f ca="1"/>
        <v>93593</v>
      </c>
      <c r="HJ177" s="1" t="str">
        <f ca="1"/>
        <v/>
      </c>
      <c r="HK177" s="1" t="str">
        <f ca="1"/>
        <v/>
      </c>
      <c r="HL177" s="1">
        <f t="shared" ca="1" si="84"/>
        <v>151</v>
      </c>
    </row>
    <row r="178" spans="214:220" x14ac:dyDescent="0.2">
      <c r="HF178" s="23" cm="1">
        <f t="array" aca="1" ref="HF178" ca="1">IFERROR(IF(HI178="","",TEXT(DAY(HH178)&amp;"/"&amp;MONTH(INDIRECT("HG"&amp;HL178))&amp;"/"&amp;YEAR(INDIRECT("HG"&amp;HL178))+0,"DD/MM/YYYY"))+0,"")</f>
        <v>46105</v>
      </c>
      <c r="HG178" s="1" t="str">
        <f ca="1"/>
        <v>Prestamo Santander Rio</v>
      </c>
      <c r="HH178" s="1">
        <f ca="1"/>
        <v>24</v>
      </c>
      <c r="HI178" s="4">
        <f ca="1"/>
        <v>872520</v>
      </c>
      <c r="HJ178" s="1" t="str">
        <f ca="1"/>
        <v/>
      </c>
      <c r="HK178" s="1" t="str">
        <f ca="1"/>
        <v>SI</v>
      </c>
      <c r="HL178" s="1">
        <f t="shared" ca="1" si="84"/>
        <v>151</v>
      </c>
    </row>
    <row r="179" spans="214:220" x14ac:dyDescent="0.2">
      <c r="HF179" s="23" cm="1">
        <f t="array" aca="1" ref="HF179" ca="1">IFERROR(IF(HI179="","",TEXT(DAY(HH179)&amp;"/"&amp;MONTH(INDIRECT("HG"&amp;HL179))&amp;"/"&amp;YEAR(INDIRECT("HG"&amp;HL179))+0,"DD/MM/YYYY"))+0,"")</f>
        <v>46108</v>
      </c>
      <c r="HG179" s="1" t="str">
        <f ca="1"/>
        <v>Prestamo Galicia +</v>
      </c>
      <c r="HH179" s="1">
        <f ca="1"/>
        <v>27</v>
      </c>
      <c r="HI179" s="4">
        <f ca="1"/>
        <v>302729</v>
      </c>
      <c r="HJ179" s="1" t="str">
        <f ca="1"/>
        <v/>
      </c>
      <c r="HK179" s="1" t="str">
        <f ca="1"/>
        <v>SI</v>
      </c>
      <c r="HL179" s="1">
        <f t="shared" ca="1" si="84"/>
        <v>151</v>
      </c>
    </row>
    <row r="180" spans="214:220" x14ac:dyDescent="0.2">
      <c r="HF180" s="23" t="str" cm="1">
        <f t="array" aca="1" ref="HF180" ca="1">IFERROR(IF(HI180="","",TEXT(DAY(HH180)&amp;"/"&amp;MONTH(INDIRECT("HG"&amp;HL180))&amp;"/"&amp;YEAR(INDIRECT("HG"&amp;HL180))+0,"DD/MM/YYYY"))+0,"")</f>
        <v/>
      </c>
      <c r="HL180" s="1">
        <f t="shared" ca="1" si="84"/>
        <v>151</v>
      </c>
    </row>
    <row r="181" spans="214:220" x14ac:dyDescent="0.2">
      <c r="HF181" s="23" t="str" cm="1">
        <f t="array" aca="1" ref="HF181" ca="1">IFERROR(IF(HI181="","",TEXT(DAY(HH181)&amp;"/"&amp;MONTH(INDIRECT("HG"&amp;HL181))&amp;"/"&amp;YEAR(INDIRECT("HG"&amp;HL181))+0,"DD/MM/YYYY"))+0,"")</f>
        <v/>
      </c>
      <c r="HL181" s="1">
        <f t="shared" ca="1" si="84"/>
        <v>151</v>
      </c>
    </row>
    <row r="182" spans="214:220" x14ac:dyDescent="0.2">
      <c r="HF182" s="23" t="str" cm="1">
        <f t="array" aca="1" ref="HF182" ca="1">IFERROR(IF(HI182="","",TEXT(DAY(HH182)&amp;"/"&amp;MONTH(INDIRECT("HG"&amp;HL182))&amp;"/"&amp;YEAR(INDIRECT("HG"&amp;HL182))+0,"DD/MM/YYYY"))+0,"")</f>
        <v/>
      </c>
      <c r="HL182" s="1">
        <f t="shared" ca="1" si="84"/>
        <v>151</v>
      </c>
    </row>
    <row r="183" spans="214:220" x14ac:dyDescent="0.2">
      <c r="HF183" s="23" t="str" cm="1">
        <f t="array" aca="1" ref="HF183" ca="1">IFERROR(IF(HI183="","",TEXT(DAY(HH183)&amp;"/"&amp;MONTH(INDIRECT("HG"&amp;HL183))&amp;"/"&amp;YEAR(INDIRECT("HG"&amp;HL183))+0,"DD/MM/YYYY"))+0,"")</f>
        <v/>
      </c>
      <c r="HL183" s="1">
        <f t="shared" ca="1" si="84"/>
        <v>151</v>
      </c>
    </row>
    <row r="184" spans="214:220" x14ac:dyDescent="0.2">
      <c r="HF184" s="23" t="str" cm="1">
        <f t="array" aca="1" ref="HF184" ca="1">IFERROR(IF(HI184="","",TEXT(DAY(HH184)&amp;"/"&amp;MONTH(INDIRECT("HG"&amp;HL184))&amp;"/"&amp;YEAR(INDIRECT("HG"&amp;HL184))+0,"DD/MM/YYYY"))+0,"")</f>
        <v/>
      </c>
      <c r="HL184" s="1">
        <f t="shared" ca="1" si="84"/>
        <v>151</v>
      </c>
    </row>
    <row r="185" spans="214:220" x14ac:dyDescent="0.2">
      <c r="HF185" s="23" t="str" cm="1">
        <f t="array" aca="1" ref="HF185" ca="1">IFERROR(IF(HI185="","",TEXT(DAY(HH185)&amp;"/"&amp;MONTH(INDIRECT("HG"&amp;HL185))&amp;"/"&amp;YEAR(INDIRECT("HG"&amp;HL185))+0,"DD/MM/YYYY"))+0,"")</f>
        <v/>
      </c>
      <c r="HL185" s="1">
        <f t="shared" ca="1" si="84"/>
        <v>151</v>
      </c>
    </row>
    <row r="186" spans="214:220" x14ac:dyDescent="0.2">
      <c r="HF186" s="23" t="str" cm="1">
        <f t="array" aca="1" ref="HF186" ca="1">IFERROR(IF(HI186="","",TEXT(DAY(HH186)&amp;"/"&amp;MONTH(INDIRECT("HG"&amp;HL186))&amp;"/"&amp;YEAR(INDIRECT("HG"&amp;HL186))+0,"DD/MM/YYYY"))+0,"")</f>
        <v/>
      </c>
      <c r="HL186" s="1">
        <f t="shared" ca="1" si="84"/>
        <v>151</v>
      </c>
    </row>
    <row r="187" spans="214:220" x14ac:dyDescent="0.2">
      <c r="HF187" s="23" t="str" cm="1">
        <f t="array" aca="1" ref="HF187" ca="1">IFERROR(IF(HI187="","",TEXT(DAY(HH187)&amp;"/"&amp;MONTH(INDIRECT("HG"&amp;HL187))&amp;"/"&amp;YEAR(INDIRECT("HG"&amp;HL187))+0,"DD/MM/YYYY"))+0,"")</f>
        <v/>
      </c>
      <c r="HL187" s="1">
        <f t="shared" ca="1" si="84"/>
        <v>151</v>
      </c>
    </row>
    <row r="188" spans="214:220" x14ac:dyDescent="0.2">
      <c r="HF188" s="23" t="str" cm="1">
        <f t="array" aca="1" ref="HF188" ca="1">IFERROR(IF(HI188="","",TEXT(DAY(HH188)&amp;"/"&amp;MONTH(INDIRECT("HG"&amp;HL188))&amp;"/"&amp;YEAR(INDIRECT("HG"&amp;HL188))+0,"DD/MM/YYYY"))+0,"")</f>
        <v/>
      </c>
      <c r="HL188" s="1">
        <f t="shared" ca="1" si="84"/>
        <v>151</v>
      </c>
    </row>
    <row r="189" spans="214:220" x14ac:dyDescent="0.2">
      <c r="HF189" s="23" t="str" cm="1">
        <f t="array" aca="1" ref="HF189" ca="1">IFERROR(IF(HI189="","",TEXT(DAY(HH189)&amp;"/"&amp;MONTH(INDIRECT("HG"&amp;HL189))&amp;"/"&amp;YEAR(INDIRECT("HG"&amp;HL189))+0,"DD/MM/YYYY"))+0,"")</f>
        <v/>
      </c>
      <c r="HG189" s="44">
        <f>+EDATE(HG151,1)</f>
        <v>46113</v>
      </c>
      <c r="HL189" s="1">
        <f t="shared" si="84"/>
        <v>189</v>
      </c>
    </row>
    <row r="190" spans="214:220" x14ac:dyDescent="0.2">
      <c r="HF190" s="23" cm="1">
        <f t="array" aca="1" ref="HF190" ca="1">IFERROR(IF(HI190="","",TEXT(DAY(HH190)&amp;"/"&amp;MONTH(INDIRECT("HG"&amp;HL190))&amp;"/"&amp;YEAR(INDIRECT("HG"&amp;HL190))+0,"DD/MM/YYYY"))+0,"")</f>
        <v>46113</v>
      </c>
      <c r="HG190" s="1" t="str" cm="1">
        <f t="array" aca="1" ref="HG190:HK218" ca="1">IFERROR(
 _xlfn.LET(
  _xlpm.tabla,$I$3:$BB$43,
  _xlpm.cab,$O$2:$BB$2,
  _xlpm.base,COLUMN($O$2)-COLUMN($I$2)+1,
  _xlpm.k,MATCH(HG189,_xlpm.cab,0),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Tarjeta Galicia - VISA</v>
      </c>
      <c r="HH190" s="1">
        <f ca="1"/>
        <v>1</v>
      </c>
      <c r="HI190" s="4">
        <f ca="1"/>
        <v>717341</v>
      </c>
      <c r="HJ190" s="1" t="str">
        <f ca="1"/>
        <v/>
      </c>
      <c r="HK190" s="1" t="str">
        <f ca="1"/>
        <v>SI</v>
      </c>
      <c r="HL190" s="1">
        <f t="shared" ca="1" si="84"/>
        <v>189</v>
      </c>
    </row>
    <row r="191" spans="214:220" x14ac:dyDescent="0.2">
      <c r="HF191" s="23" cm="1">
        <f t="array" aca="1" ref="HF191" ca="1">IFERROR(IF(HI191="","",TEXT(DAY(HH191)&amp;"/"&amp;MONTH(INDIRECT("HG"&amp;HL191))&amp;"/"&amp;YEAR(INDIRECT("HG"&amp;HL191))+0,"DD/MM/YYYY"))+0,"")</f>
        <v>46113</v>
      </c>
      <c r="HG191" s="1" t="str">
        <f ca="1"/>
        <v>Tarjeta ICBC</v>
      </c>
      <c r="HH191" s="1">
        <f ca="1"/>
        <v>1</v>
      </c>
      <c r="HI191" s="4">
        <f ca="1"/>
        <v>364040.33</v>
      </c>
      <c r="HJ191" s="1" t="str">
        <f ca="1"/>
        <v/>
      </c>
      <c r="HK191" s="1" t="str">
        <f ca="1"/>
        <v>SI</v>
      </c>
      <c r="HL191" s="1">
        <f t="shared" ca="1" si="84"/>
        <v>189</v>
      </c>
    </row>
    <row r="192" spans="214:220" x14ac:dyDescent="0.2">
      <c r="HF192" s="23" cm="1">
        <f t="array" aca="1" ref="HF192" ca="1">IFERROR(IF(HI192="","",TEXT(DAY(HH192)&amp;"/"&amp;MONTH(INDIRECT("HG"&amp;HL192))&amp;"/"&amp;YEAR(INDIRECT("HG"&amp;HL192))+0,"DD/MM/YYYY"))+0,"")</f>
        <v>46113</v>
      </c>
      <c r="HG192" s="1" t="str">
        <f ca="1"/>
        <v>Autonomo</v>
      </c>
      <c r="HH192" s="1">
        <f ca="1"/>
        <v>1</v>
      </c>
      <c r="HI192" s="4">
        <f ca="1"/>
        <v>90342</v>
      </c>
      <c r="HJ192" s="1" t="str">
        <f ca="1"/>
        <v/>
      </c>
      <c r="HK192" s="1" t="str">
        <f ca="1"/>
        <v>SI</v>
      </c>
      <c r="HL192" s="1">
        <f t="shared" ca="1" si="84"/>
        <v>189</v>
      </c>
    </row>
    <row r="193" spans="214:220" x14ac:dyDescent="0.2">
      <c r="HF193" s="23" cm="1">
        <f t="array" aca="1" ref="HF193" ca="1">IFERROR(IF(HI193="","",TEXT(DAY(HH193)&amp;"/"&amp;MONTH(INDIRECT("HG"&amp;HL193))&amp;"/"&amp;YEAR(INDIRECT("HG"&amp;HL193))+0,"DD/MM/YYYY"))+0,"")</f>
        <v>46113</v>
      </c>
      <c r="HG193" s="1" t="str">
        <f ca="1"/>
        <v>Monotributo IVAN</v>
      </c>
      <c r="HH193" s="1">
        <f ca="1"/>
        <v>1</v>
      </c>
      <c r="HI193" s="4">
        <f ca="1"/>
        <v>52280</v>
      </c>
      <c r="HJ193" s="1" t="str">
        <f ca="1"/>
        <v/>
      </c>
      <c r="HK193" s="1" t="str">
        <f ca="1"/>
        <v>SI</v>
      </c>
      <c r="HL193" s="1">
        <f t="shared" ca="1" si="84"/>
        <v>189</v>
      </c>
    </row>
    <row r="194" spans="214:220" x14ac:dyDescent="0.2">
      <c r="HF194" s="23" cm="1">
        <f t="array" aca="1" ref="HF194" ca="1">IFERROR(IF(HI194="","",TEXT(DAY(HH194)&amp;"/"&amp;MONTH(INDIRECT("HG"&amp;HL194))&amp;"/"&amp;YEAR(INDIRECT("HG"&amp;HL194))+0,"DD/MM/YYYY"))+0,"")</f>
        <v>46113</v>
      </c>
      <c r="HG194" s="1" t="str">
        <f ca="1"/>
        <v>Monotributo Mayeski</v>
      </c>
      <c r="HH194" s="1">
        <f ca="1"/>
        <v>1</v>
      </c>
      <c r="HI194" s="4">
        <f ca="1"/>
        <v>52280</v>
      </c>
      <c r="HJ194" s="1" t="str">
        <f ca="1"/>
        <v/>
      </c>
      <c r="HK194" s="1" t="str">
        <f ca="1"/>
        <v>SI</v>
      </c>
      <c r="HL194" s="1">
        <f t="shared" ca="1" si="84"/>
        <v>189</v>
      </c>
    </row>
    <row r="195" spans="214:220" x14ac:dyDescent="0.2">
      <c r="HF195" s="23" cm="1">
        <f t="array" aca="1" ref="HF195" ca="1">IFERROR(IF(HI195="","",TEXT(DAY(HH195)&amp;"/"&amp;MONTH(INDIRECT("HG"&amp;HL195))&amp;"/"&amp;YEAR(INDIRECT("HG"&amp;HL195))+0,"DD/MM/YYYY"))+0,"")</f>
        <v>46113</v>
      </c>
      <c r="HG195" s="1" t="str">
        <f ca="1"/>
        <v>Monotributo David</v>
      </c>
      <c r="HH195" s="1">
        <f ca="1"/>
        <v>1</v>
      </c>
      <c r="HI195" s="4">
        <f ca="1"/>
        <v>42246</v>
      </c>
      <c r="HJ195" s="1" t="str">
        <f ca="1"/>
        <v/>
      </c>
      <c r="HK195" s="1" t="str">
        <f ca="1"/>
        <v>SI</v>
      </c>
      <c r="HL195" s="1">
        <f t="shared" ca="1" si="84"/>
        <v>189</v>
      </c>
    </row>
    <row r="196" spans="214:220" x14ac:dyDescent="0.2">
      <c r="HF196" s="23" cm="1">
        <f t="array" aca="1" ref="HF196" ca="1">IFERROR(IF(HI196="","",TEXT(DAY(HH196)&amp;"/"&amp;MONTH(INDIRECT("HG"&amp;HL196))&amp;"/"&amp;YEAR(INDIRECT("HG"&amp;HL196))+0,"DD/MM/YYYY"))+0,"")</f>
        <v>46113</v>
      </c>
      <c r="HG196" s="1" t="str">
        <f ca="1"/>
        <v>Movistar</v>
      </c>
      <c r="HH196" s="1">
        <f ca="1"/>
        <v>1</v>
      </c>
      <c r="HI196" s="4">
        <f ca="1"/>
        <v>10350</v>
      </c>
      <c r="HJ196" s="1" t="str">
        <f ca="1"/>
        <v/>
      </c>
      <c r="HK196" s="1" t="str">
        <f ca="1"/>
        <v>SI</v>
      </c>
      <c r="HL196" s="1">
        <f t="shared" ca="1" si="84"/>
        <v>189</v>
      </c>
    </row>
    <row r="197" spans="214:220" x14ac:dyDescent="0.2">
      <c r="HF197" s="23" cm="1">
        <f t="array" aca="1" ref="HF197" ca="1">IFERROR(IF(HI197="","",TEXT(DAY(HH197)&amp;"/"&amp;MONTH(INDIRECT("HG"&amp;HL197))&amp;"/"&amp;YEAR(INDIRECT("HG"&amp;HL197))+0,"DD/MM/YYYY"))+0,"")</f>
        <v>46113</v>
      </c>
      <c r="HG197" s="1" t="str">
        <f ca="1"/>
        <v>Victoria Seguros</v>
      </c>
      <c r="HH197" s="1">
        <f ca="1"/>
        <v>1</v>
      </c>
      <c r="HI197" s="4">
        <f ca="1"/>
        <v>123878</v>
      </c>
      <c r="HJ197" s="1" t="str">
        <f ca="1"/>
        <v/>
      </c>
      <c r="HK197" s="1" t="str">
        <f ca="1"/>
        <v>SI</v>
      </c>
      <c r="HL197" s="1">
        <f t="shared" ref="HL197:HL260" ca="1" si="85">+IF(ISNUMBER(HG197),ROW(),HL196)</f>
        <v>189</v>
      </c>
    </row>
    <row r="198" spans="214:220" x14ac:dyDescent="0.2">
      <c r="HF198" s="23" cm="1">
        <f t="array" aca="1" ref="HF198" ca="1">IFERROR(IF(HI198="","",TEXT(DAY(HH198)&amp;"/"&amp;MONTH(INDIRECT("HG"&amp;HL198))&amp;"/"&amp;YEAR(INDIRECT("HG"&amp;HL198))+0,"DD/MM/YYYY"))+0,"")</f>
        <v>46114</v>
      </c>
      <c r="HG198" s="1" t="str">
        <f ca="1"/>
        <v>Aseg. Motovehicular</v>
      </c>
      <c r="HH198" s="1">
        <f ca="1"/>
        <v>2</v>
      </c>
      <c r="HI198" s="4">
        <f ca="1"/>
        <v>141512.71</v>
      </c>
      <c r="HJ198" s="1" t="str">
        <f ca="1"/>
        <v/>
      </c>
      <c r="HK198" s="1" t="str">
        <f ca="1"/>
        <v>SI</v>
      </c>
      <c r="HL198" s="1">
        <f t="shared" ca="1" si="85"/>
        <v>189</v>
      </c>
    </row>
    <row r="199" spans="214:220" x14ac:dyDescent="0.2">
      <c r="HF199" s="23" cm="1">
        <f t="array" aca="1" ref="HF199" ca="1">IFERROR(IF(HI199="","",TEXT(DAY(HH199)&amp;"/"&amp;MONTH(INDIRECT("HG"&amp;HL199))&amp;"/"&amp;YEAR(INDIRECT("HG"&amp;HL199))+0,"DD/MM/YYYY"))+0,"")</f>
        <v>46114</v>
      </c>
      <c r="HG199" s="1" t="str">
        <f ca="1"/>
        <v>Personal Flow</v>
      </c>
      <c r="HH199" s="1">
        <f ca="1"/>
        <v>2</v>
      </c>
      <c r="HI199" s="4">
        <f ca="1"/>
        <v>71670</v>
      </c>
      <c r="HJ199" s="1" t="str">
        <f ca="1"/>
        <v/>
      </c>
      <c r="HK199" s="1" t="str">
        <f ca="1"/>
        <v/>
      </c>
      <c r="HL199" s="1">
        <f t="shared" ca="1" si="85"/>
        <v>189</v>
      </c>
    </row>
    <row r="200" spans="214:220" x14ac:dyDescent="0.2">
      <c r="HF200" s="23" cm="1">
        <f t="array" aca="1" ref="HF200" ca="1">IFERROR(IF(HI200="","",TEXT(DAY(HH200)&amp;"/"&amp;MONTH(INDIRECT("HG"&amp;HL200))&amp;"/"&amp;YEAR(INDIRECT("HG"&amp;HL200))+0,"DD/MM/YYYY"))+0,"")</f>
        <v>46118</v>
      </c>
      <c r="HG200" s="1" t="str">
        <f ca="1"/>
        <v>Tarjeta Galicia + MASTER</v>
      </c>
      <c r="HH200" s="1">
        <f ca="1"/>
        <v>6</v>
      </c>
      <c r="HI200" s="4">
        <f ca="1"/>
        <v>40000</v>
      </c>
      <c r="HJ200" s="1" t="str">
        <f ca="1"/>
        <v/>
      </c>
      <c r="HK200" s="1" t="str">
        <f ca="1"/>
        <v>SI</v>
      </c>
      <c r="HL200" s="1">
        <f t="shared" ca="1" si="85"/>
        <v>189</v>
      </c>
    </row>
    <row r="201" spans="214:220" x14ac:dyDescent="0.2">
      <c r="HF201" s="23" cm="1">
        <f t="array" aca="1" ref="HF201" ca="1">IFERROR(IF(HI201="","",TEXT(DAY(HH201)&amp;"/"&amp;MONTH(INDIRECT("HG"&amp;HL201))&amp;"/"&amp;YEAR(INDIRECT("HG"&amp;HL201))+0,"DD/MM/YYYY"))+0,"")</f>
        <v>46120</v>
      </c>
      <c r="HG201" s="1" t="str">
        <f ca="1"/>
        <v>Tarjeta Santander Rio - VISA</v>
      </c>
      <c r="HH201" s="1">
        <f ca="1"/>
        <v>8</v>
      </c>
      <c r="HI201" s="4">
        <f ca="1"/>
        <v>1358053.78</v>
      </c>
      <c r="HJ201" s="1">
        <f ca="1"/>
        <v>50.42</v>
      </c>
      <c r="HK201" s="1" t="str">
        <f ca="1"/>
        <v>SI</v>
      </c>
      <c r="HL201" s="1">
        <f t="shared" ca="1" si="85"/>
        <v>189</v>
      </c>
    </row>
    <row r="202" spans="214:220" x14ac:dyDescent="0.2">
      <c r="HF202" s="23" cm="1">
        <f t="array" aca="1" ref="HF202" ca="1">IFERROR(IF(HI202="","",TEXT(DAY(HH202)&amp;"/"&amp;MONTH(INDIRECT("HG"&amp;HL202))&amp;"/"&amp;YEAR(INDIRECT("HG"&amp;HL202))+0,"DD/MM/YYYY"))+0,"")</f>
        <v>46121</v>
      </c>
      <c r="HG202" s="1" t="str">
        <f ca="1"/>
        <v>Tarjeta Santander Rio - AMEX</v>
      </c>
      <c r="HH202" s="1">
        <f ca="1"/>
        <v>9</v>
      </c>
      <c r="HI202" s="4">
        <f ca="1"/>
        <v>41238.629999999997</v>
      </c>
      <c r="HJ202" s="1" t="str">
        <f ca="1"/>
        <v/>
      </c>
      <c r="HK202" s="1" t="str">
        <f ca="1"/>
        <v>SI</v>
      </c>
      <c r="HL202" s="1">
        <f t="shared" ca="1" si="85"/>
        <v>189</v>
      </c>
    </row>
    <row r="203" spans="214:220" x14ac:dyDescent="0.2">
      <c r="HF203" s="23" cm="1">
        <f t="array" aca="1" ref="HF203" ca="1">IFERROR(IF(HI203="","",TEXT(DAY(HH203)&amp;"/"&amp;MONTH(INDIRECT("HG"&amp;HL203))&amp;"/"&amp;YEAR(INDIRECT("HG"&amp;HL203))+0,"DD/MM/YYYY"))+0,"")</f>
        <v>46122</v>
      </c>
      <c r="HG203" s="1" t="str">
        <f ca="1"/>
        <v>Alquiler Distribuidora</v>
      </c>
      <c r="HH203" s="1">
        <f ca="1"/>
        <v>10</v>
      </c>
      <c r="HI203" s="4">
        <f ca="1"/>
        <v>600000</v>
      </c>
      <c r="HJ203" s="1" t="str">
        <f ca="1"/>
        <v/>
      </c>
      <c r="HK203" s="1" t="str">
        <f ca="1"/>
        <v>SI</v>
      </c>
      <c r="HL203" s="1">
        <f t="shared" ca="1" si="85"/>
        <v>189</v>
      </c>
    </row>
    <row r="204" spans="214:220" x14ac:dyDescent="0.2">
      <c r="HF204" s="23" cm="1">
        <f t="array" aca="1" ref="HF204" ca="1">IFERROR(IF(HI204="","",TEXT(DAY(HH204)&amp;"/"&amp;MONTH(INDIRECT("HG"&amp;HL204))&amp;"/"&amp;YEAR(INDIRECT("HG"&amp;HL204))+0,"DD/MM/YYYY"))+0,"")</f>
        <v>46122</v>
      </c>
      <c r="HG204" s="1" t="str">
        <f ca="1"/>
        <v>Alquiler Casa</v>
      </c>
      <c r="HH204" s="1">
        <f ca="1"/>
        <v>10</v>
      </c>
      <c r="HI204" s="4">
        <f ca="1"/>
        <v>350000</v>
      </c>
      <c r="HJ204" s="1" t="str">
        <f ca="1"/>
        <v/>
      </c>
      <c r="HK204" s="1" t="str">
        <f ca="1"/>
        <v>SI</v>
      </c>
      <c r="HL204" s="1">
        <f t="shared" ca="1" si="85"/>
        <v>189</v>
      </c>
    </row>
    <row r="205" spans="214:220" x14ac:dyDescent="0.2">
      <c r="HF205" s="23" cm="1">
        <f t="array" aca="1" ref="HF205" ca="1">IFERROR(IF(HI205="","",TEXT(DAY(HH205)&amp;"/"&amp;MONTH(INDIRECT("HG"&amp;HL205))&amp;"/"&amp;YEAR(INDIRECT("HG"&amp;HL205))+0,"DD/MM/YYYY"))+0,"")</f>
        <v>46122</v>
      </c>
      <c r="HG205" s="1" t="str">
        <f ca="1"/>
        <v>Mel diseño grafico</v>
      </c>
      <c r="HH205" s="1">
        <f ca="1"/>
        <v>10</v>
      </c>
      <c r="HI205" s="4">
        <f ca="1"/>
        <v>430000</v>
      </c>
      <c r="HJ205" s="1" t="str">
        <f ca="1"/>
        <v/>
      </c>
      <c r="HK205" s="1" t="str">
        <f ca="1"/>
        <v>SI</v>
      </c>
      <c r="HL205" s="1">
        <f t="shared" ca="1" si="85"/>
        <v>189</v>
      </c>
    </row>
    <row r="206" spans="214:220" x14ac:dyDescent="0.2">
      <c r="HF206" s="23" cm="1">
        <f t="array" aca="1" ref="HF206" ca="1">IFERROR(IF(HI206="","",TEXT(DAY(HH206)&amp;"/"&amp;MONTH(INDIRECT("HG"&amp;HL206))&amp;"/"&amp;YEAR(INDIRECT("HG"&amp;HL206))+0,"DD/MM/YYYY"))+0,"")</f>
        <v>46122</v>
      </c>
      <c r="HG206" s="1" t="str">
        <f ca="1"/>
        <v>Contador</v>
      </c>
      <c r="HH206" s="1">
        <f ca="1"/>
        <v>10</v>
      </c>
      <c r="HI206" s="4">
        <f ca="1"/>
        <v>165000</v>
      </c>
      <c r="HJ206" s="1" t="str">
        <f ca="1"/>
        <v/>
      </c>
      <c r="HK206" s="1" t="str">
        <f ca="1"/>
        <v>SI</v>
      </c>
      <c r="HL206" s="1">
        <f t="shared" ca="1" si="85"/>
        <v>189</v>
      </c>
    </row>
    <row r="207" spans="214:220" x14ac:dyDescent="0.2">
      <c r="HF207" s="23" cm="1">
        <f t="array" aca="1" ref="HF207" ca="1">IFERROR(IF(HI207="","",TEXT(DAY(HH207)&amp;"/"&amp;MONTH(INDIRECT("HG"&amp;HL207))&amp;"/"&amp;YEAR(INDIRECT("HG"&amp;HL207))+0,"DD/MM/YYYY"))+0,"")</f>
        <v>46122</v>
      </c>
      <c r="HG207" s="1" t="str">
        <f ca="1"/>
        <v>Cargas Sociales</v>
      </c>
      <c r="HH207" s="1">
        <f ca="1"/>
        <v>10</v>
      </c>
      <c r="HI207" s="4">
        <f ca="1"/>
        <v>831762</v>
      </c>
      <c r="HJ207" s="1" t="str">
        <f ca="1"/>
        <v/>
      </c>
      <c r="HK207" s="1" t="str">
        <f ca="1"/>
        <v>SI</v>
      </c>
      <c r="HL207" s="1">
        <f t="shared" ca="1" si="85"/>
        <v>189</v>
      </c>
    </row>
    <row r="208" spans="214:220" x14ac:dyDescent="0.2">
      <c r="HF208" s="23" cm="1">
        <f t="array" aca="1" ref="HF208" ca="1">IFERROR(IF(HI208="","",TEXT(DAY(HH208)&amp;"/"&amp;MONTH(INDIRECT("HG"&amp;HL208))&amp;"/"&amp;YEAR(INDIRECT("HG"&amp;HL208))+0,"DD/MM/YYYY"))+0,"")</f>
        <v>46126</v>
      </c>
      <c r="HG208" s="1" t="str">
        <f ca="1"/>
        <v>Prestamo Galicia - SGR</v>
      </c>
      <c r="HH208" s="1">
        <f ca="1"/>
        <v>14</v>
      </c>
      <c r="HI208" s="4">
        <f ca="1"/>
        <v>1582000</v>
      </c>
      <c r="HJ208" s="1" t="str">
        <f ca="1"/>
        <v/>
      </c>
      <c r="HK208" s="1" t="str">
        <f ca="1"/>
        <v>SI</v>
      </c>
      <c r="HL208" s="1">
        <f t="shared" ca="1" si="85"/>
        <v>189</v>
      </c>
    </row>
    <row r="209" spans="214:220" x14ac:dyDescent="0.2">
      <c r="HF209" s="23" cm="1">
        <f t="array" aca="1" ref="HF209" ca="1">IFERROR(IF(HI209="","",TEXT(DAY(HH209)&amp;"/"&amp;MONTH(INDIRECT("HG"&amp;HL209))&amp;"/"&amp;YEAR(INDIRECT("HG"&amp;HL209))+0,"DD/MM/YYYY"))+0,"")</f>
        <v>46128</v>
      </c>
      <c r="HG209" s="1" t="str">
        <f ca="1"/>
        <v>Cuota Facilidades IVA</v>
      </c>
      <c r="HH209" s="1">
        <f ca="1"/>
        <v>16</v>
      </c>
      <c r="HI209" s="4">
        <f ca="1"/>
        <v>446304</v>
      </c>
      <c r="HJ209" s="1" t="str">
        <f ca="1"/>
        <v/>
      </c>
      <c r="HK209" s="1" t="str">
        <f ca="1"/>
        <v>SI</v>
      </c>
      <c r="HL209" s="1">
        <f t="shared" ca="1" si="85"/>
        <v>189</v>
      </c>
    </row>
    <row r="210" spans="214:220" x14ac:dyDescent="0.2">
      <c r="HF210" s="23" cm="1">
        <f t="array" aca="1" ref="HF210" ca="1">IFERROR(IF(HI210="","",TEXT(DAY(HH210)&amp;"/"&amp;MONTH(INDIRECT("HG"&amp;HL210))&amp;"/"&amp;YEAR(INDIRECT("HG"&amp;HL210))+0,"DD/MM/YYYY"))+0,"")</f>
        <v>46128</v>
      </c>
      <c r="HG210" s="1" t="str">
        <f ca="1"/>
        <v>Cuota Facilidades IVA</v>
      </c>
      <c r="HH210" s="1">
        <f ca="1"/>
        <v>16</v>
      </c>
      <c r="HI210" s="4">
        <f ca="1"/>
        <v>410336</v>
      </c>
      <c r="HJ210" s="1" t="str">
        <f ca="1"/>
        <v/>
      </c>
      <c r="HK210" s="1" t="str">
        <f ca="1"/>
        <v>SI</v>
      </c>
      <c r="HL210" s="1">
        <f t="shared" ca="1" si="85"/>
        <v>189</v>
      </c>
    </row>
    <row r="211" spans="214:220" x14ac:dyDescent="0.2">
      <c r="HF211" s="23" cm="1">
        <f t="array" aca="1" ref="HF211" ca="1">IFERROR(IF(HI211="","",TEXT(DAY(HH211)&amp;"/"&amp;MONTH(INDIRECT("HG"&amp;HL211))&amp;"/"&amp;YEAR(INDIRECT("HG"&amp;HL211))+0,"DD/MM/YYYY"))+0,"")</f>
        <v>46128</v>
      </c>
      <c r="HG211" s="1" t="str">
        <f ca="1"/>
        <v>Personal Flow</v>
      </c>
      <c r="HH211" s="1">
        <f ca="1"/>
        <v>16</v>
      </c>
      <c r="HI211" s="4">
        <f ca="1"/>
        <v>89083</v>
      </c>
      <c r="HJ211" s="1" t="str">
        <f ca="1"/>
        <v/>
      </c>
      <c r="HK211" s="1" t="str">
        <f ca="1"/>
        <v>SI</v>
      </c>
      <c r="HL211" s="1">
        <f t="shared" ca="1" si="85"/>
        <v>189</v>
      </c>
    </row>
    <row r="212" spans="214:220" x14ac:dyDescent="0.2">
      <c r="HF212" s="23" cm="1">
        <f t="array" aca="1" ref="HF212" ca="1">IFERROR(IF(HI212="","",TEXT(DAY(HH212)&amp;"/"&amp;MONTH(INDIRECT("HG"&amp;HL212))&amp;"/"&amp;YEAR(INDIRECT("HG"&amp;HL212))+0,"DD/MM/YYYY"))+0,"")</f>
        <v>46129</v>
      </c>
      <c r="HG212" s="1" t="str">
        <f ca="1"/>
        <v>Tarjeta Galicia + VISA</v>
      </c>
      <c r="HH212" s="1">
        <f ca="1"/>
        <v>17</v>
      </c>
      <c r="HI212" s="4">
        <f ca="1"/>
        <v>1213387.2</v>
      </c>
      <c r="HJ212" s="1" t="str">
        <f ca="1"/>
        <v/>
      </c>
      <c r="HK212" s="1" t="str">
        <f ca="1"/>
        <v>SI</v>
      </c>
      <c r="HL212" s="1">
        <f t="shared" ca="1" si="85"/>
        <v>189</v>
      </c>
    </row>
    <row r="213" spans="214:220" x14ac:dyDescent="0.2">
      <c r="HF213" s="23" cm="1">
        <f t="array" aca="1" ref="HF213" ca="1">IFERROR(IF(HI213="","",TEXT(DAY(HH213)&amp;"/"&amp;MONTH(INDIRECT("HG"&amp;HL213))&amp;"/"&amp;YEAR(INDIRECT("HG"&amp;HL213))+0,"DD/MM/YYYY"))+0,"")</f>
        <v>46131</v>
      </c>
      <c r="HG213" s="1" t="str">
        <f ca="1"/>
        <v>Prestamo Galicia +</v>
      </c>
      <c r="HH213" s="1">
        <f ca="1"/>
        <v>19</v>
      </c>
      <c r="HI213" s="4">
        <f ca="1"/>
        <v>1311628.8700000001</v>
      </c>
      <c r="HJ213" s="1" t="str">
        <f ca="1"/>
        <v/>
      </c>
      <c r="HK213" s="1" t="str">
        <f ca="1"/>
        <v>SI</v>
      </c>
      <c r="HL213" s="1">
        <f t="shared" ca="1" si="85"/>
        <v>189</v>
      </c>
    </row>
    <row r="214" spans="214:220" x14ac:dyDescent="0.2">
      <c r="HF214" s="23" cm="1">
        <f t="array" aca="1" ref="HF214" ca="1">IFERROR(IF(HI214="","",TEXT(DAY(HH214)&amp;"/"&amp;MONTH(INDIRECT("HG"&amp;HL214))&amp;"/"&amp;YEAR(INDIRECT("HG"&amp;HL214))+0,"DD/MM/YYYY"))+0,"")</f>
        <v>46132</v>
      </c>
      <c r="HG214" s="1" t="str">
        <f ca="1"/>
        <v>BS Gestion</v>
      </c>
      <c r="HH214" s="1">
        <f ca="1"/>
        <v>20</v>
      </c>
      <c r="HI214" s="4">
        <f ca="1"/>
        <v>382511.25</v>
      </c>
      <c r="HJ214" s="1" t="str">
        <f ca="1"/>
        <v/>
      </c>
      <c r="HK214" s="1" t="str">
        <f ca="1"/>
        <v>SI</v>
      </c>
      <c r="HL214" s="1">
        <f t="shared" ca="1" si="85"/>
        <v>189</v>
      </c>
    </row>
    <row r="215" spans="214:220" x14ac:dyDescent="0.2">
      <c r="HF215" s="23" cm="1">
        <f t="array" aca="1" ref="HF215" ca="1">IFERROR(IF(HI215="","",TEXT(DAY(HH215)&amp;"/"&amp;MONTH(INDIRECT("HG"&amp;HL215))&amp;"/"&amp;YEAR(INDIRECT("HG"&amp;HL215))+0,"DD/MM/YYYY"))+0,"")</f>
        <v>46132</v>
      </c>
      <c r="HG215" s="1" t="str">
        <f ca="1"/>
        <v>Tarjeta Galicia - BUSINESS</v>
      </c>
      <c r="HH215" s="1">
        <f ca="1"/>
        <v>20</v>
      </c>
      <c r="HI215" s="4">
        <f ca="1"/>
        <v>848160</v>
      </c>
      <c r="HJ215" s="1" t="str">
        <f ca="1"/>
        <v/>
      </c>
      <c r="HK215" s="1" t="str">
        <f ca="1"/>
        <v>SI</v>
      </c>
      <c r="HL215" s="1">
        <f t="shared" ca="1" si="85"/>
        <v>189</v>
      </c>
    </row>
    <row r="216" spans="214:220" x14ac:dyDescent="0.2">
      <c r="HF216" s="23" cm="1">
        <f t="array" aca="1" ref="HF216" ca="1">IFERROR(IF(HI216="","",TEXT(DAY(HH216)&amp;"/"&amp;MONTH(INDIRECT("HG"&amp;HL216))&amp;"/"&amp;YEAR(INDIRECT("HG"&amp;HL216))+0,"DD/MM/YYYY"))+0,"")</f>
        <v>46134</v>
      </c>
      <c r="HG216" s="1" t="str">
        <f ca="1"/>
        <v>Seguros Rivadavía</v>
      </c>
      <c r="HH216" s="1">
        <f ca="1"/>
        <v>22</v>
      </c>
      <c r="HI216" s="4">
        <f ca="1"/>
        <v>93593</v>
      </c>
      <c r="HJ216" s="1" t="str">
        <f ca="1"/>
        <v/>
      </c>
      <c r="HK216" s="1" t="str">
        <f ca="1"/>
        <v>SI</v>
      </c>
      <c r="HL216" s="1">
        <f t="shared" ca="1" si="85"/>
        <v>189</v>
      </c>
    </row>
    <row r="217" spans="214:220" x14ac:dyDescent="0.2">
      <c r="HF217" s="23" cm="1">
        <f t="array" aca="1" ref="HF217" ca="1">IFERROR(IF(HI217="","",TEXT(DAY(HH217)&amp;"/"&amp;MONTH(INDIRECT("HG"&amp;HL217))&amp;"/"&amp;YEAR(INDIRECT("HG"&amp;HL217))+0,"DD/MM/YYYY"))+0,"")</f>
        <v>46136</v>
      </c>
      <c r="HG217" s="1" t="str">
        <f ca="1"/>
        <v>Prestamo Santander Rio</v>
      </c>
      <c r="HH217" s="1">
        <f ca="1"/>
        <v>24</v>
      </c>
      <c r="HI217" s="4">
        <f ca="1"/>
        <v>872520</v>
      </c>
      <c r="HJ217" s="1" t="str">
        <f ca="1"/>
        <v/>
      </c>
      <c r="HK217" s="1" t="str">
        <f ca="1"/>
        <v>SI</v>
      </c>
      <c r="HL217" s="1">
        <f t="shared" ca="1" si="85"/>
        <v>189</v>
      </c>
    </row>
    <row r="218" spans="214:220" x14ac:dyDescent="0.2">
      <c r="HF218" s="23" cm="1">
        <f t="array" aca="1" ref="HF218" ca="1">IFERROR(IF(HI218="","",TEXT(DAY(HH218)&amp;"/"&amp;MONTH(INDIRECT("HG"&amp;HL218))&amp;"/"&amp;YEAR(INDIRECT("HG"&amp;HL218))+0,"DD/MM/YYYY"))+0,"")</f>
        <v>46139</v>
      </c>
      <c r="HG218" s="1" t="str">
        <f ca="1"/>
        <v>Prestamo Galicia +</v>
      </c>
      <c r="HH218" s="1">
        <f ca="1"/>
        <v>27</v>
      </c>
      <c r="HI218" s="4">
        <f ca="1"/>
        <v>299449</v>
      </c>
      <c r="HJ218" s="1" t="str">
        <f ca="1"/>
        <v/>
      </c>
      <c r="HK218" s="1" t="str">
        <f ca="1"/>
        <v>SI</v>
      </c>
      <c r="HL218" s="1">
        <f t="shared" ca="1" si="85"/>
        <v>189</v>
      </c>
    </row>
    <row r="219" spans="214:220" x14ac:dyDescent="0.2">
      <c r="HF219" s="23" t="str" cm="1">
        <f t="array" aca="1" ref="HF219" ca="1">IFERROR(IF(HI219="","",TEXT(DAY(HH219)&amp;"/"&amp;MONTH(INDIRECT("HG"&amp;HL219))&amp;"/"&amp;YEAR(INDIRECT("HG"&amp;HL219))+0,"DD/MM/YYYY"))+0,"")</f>
        <v/>
      </c>
      <c r="HL219" s="1">
        <f t="shared" ca="1" si="85"/>
        <v>189</v>
      </c>
    </row>
    <row r="220" spans="214:220" x14ac:dyDescent="0.2">
      <c r="HF220" s="23" t="str" cm="1">
        <f t="array" aca="1" ref="HF220" ca="1">IFERROR(IF(HI220="","",TEXT(DAY(HH220)&amp;"/"&amp;MONTH(INDIRECT("HG"&amp;HL220))&amp;"/"&amp;YEAR(INDIRECT("HG"&amp;HL220))+0,"DD/MM/YYYY"))+0,"")</f>
        <v/>
      </c>
      <c r="HL220" s="1">
        <f t="shared" ca="1" si="85"/>
        <v>189</v>
      </c>
    </row>
    <row r="221" spans="214:220" x14ac:dyDescent="0.2">
      <c r="HF221" s="23" t="str" cm="1">
        <f t="array" aca="1" ref="HF221" ca="1">IFERROR(IF(HI221="","",TEXT(DAY(HH221)&amp;"/"&amp;MONTH(INDIRECT("HG"&amp;HL221))&amp;"/"&amp;YEAR(INDIRECT("HG"&amp;HL221))+0,"DD/MM/YYYY"))+0,"")</f>
        <v/>
      </c>
      <c r="HL221" s="1">
        <f t="shared" ca="1" si="85"/>
        <v>189</v>
      </c>
    </row>
    <row r="222" spans="214:220" x14ac:dyDescent="0.2">
      <c r="HF222" s="23" t="str" cm="1">
        <f t="array" aca="1" ref="HF222" ca="1">IFERROR(IF(HI222="","",TEXT(DAY(HH222)&amp;"/"&amp;MONTH(INDIRECT("HG"&amp;HL222))&amp;"/"&amp;YEAR(INDIRECT("HG"&amp;HL222))+0,"DD/MM/YYYY"))+0,"")</f>
        <v/>
      </c>
      <c r="HL222" s="1">
        <f t="shared" ca="1" si="85"/>
        <v>189</v>
      </c>
    </row>
    <row r="223" spans="214:220" x14ac:dyDescent="0.2">
      <c r="HF223" s="23" t="str" cm="1">
        <f t="array" aca="1" ref="HF223" ca="1">IFERROR(IF(HI223="","",TEXT(DAY(HH223)&amp;"/"&amp;MONTH(INDIRECT("HG"&amp;HL223))&amp;"/"&amp;YEAR(INDIRECT("HG"&amp;HL223))+0,"DD/MM/YYYY"))+0,"")</f>
        <v/>
      </c>
      <c r="HL223" s="1">
        <f t="shared" ca="1" si="85"/>
        <v>189</v>
      </c>
    </row>
    <row r="224" spans="214:220" x14ac:dyDescent="0.2">
      <c r="HF224" s="23" t="str" cm="1">
        <f t="array" aca="1" ref="HF224" ca="1">IFERROR(IF(HI224="","",TEXT(DAY(HH224)&amp;"/"&amp;MONTH(INDIRECT("HG"&amp;HL224))&amp;"/"&amp;YEAR(INDIRECT("HG"&amp;HL224))+0,"DD/MM/YYYY"))+0,"")</f>
        <v/>
      </c>
      <c r="HL224" s="1">
        <f t="shared" ca="1" si="85"/>
        <v>189</v>
      </c>
    </row>
    <row r="225" spans="214:220" x14ac:dyDescent="0.2">
      <c r="HF225" s="23" t="str" cm="1">
        <f t="array" aca="1" ref="HF225" ca="1">IFERROR(IF(HI225="","",TEXT(DAY(HH225)&amp;"/"&amp;MONTH(INDIRECT("HG"&amp;HL225))&amp;"/"&amp;YEAR(INDIRECT("HG"&amp;HL225))+0,"DD/MM/YYYY"))+0,"")</f>
        <v/>
      </c>
      <c r="HL225" s="1">
        <f t="shared" ca="1" si="85"/>
        <v>189</v>
      </c>
    </row>
    <row r="226" spans="214:220" x14ac:dyDescent="0.2">
      <c r="HF226" s="23" t="str" cm="1">
        <f t="array" aca="1" ref="HF226" ca="1">IFERROR(IF(HI226="","",TEXT(DAY(HH226)&amp;"/"&amp;MONTH(INDIRECT("HG"&amp;HL226))&amp;"/"&amp;YEAR(INDIRECT("HG"&amp;HL226))+0,"DD/MM/YYYY"))+0,"")</f>
        <v/>
      </c>
      <c r="HL226" s="1">
        <f t="shared" ca="1" si="85"/>
        <v>189</v>
      </c>
    </row>
    <row r="227" spans="214:220" x14ac:dyDescent="0.2">
      <c r="HF227" s="23" t="str" cm="1">
        <f t="array" aca="1" ref="HF227" ca="1">IFERROR(IF(HI227="","",TEXT(DAY(HH227)&amp;"/"&amp;MONTH(INDIRECT("HG"&amp;HL227))&amp;"/"&amp;YEAR(INDIRECT("HG"&amp;HL227))+0,"DD/MM/YYYY"))+0,"")</f>
        <v/>
      </c>
      <c r="HG227" s="44">
        <f>+EDATE(HG189,1)</f>
        <v>46143</v>
      </c>
      <c r="HL227" s="1">
        <f t="shared" si="85"/>
        <v>227</v>
      </c>
    </row>
    <row r="228" spans="214:220" x14ac:dyDescent="0.2">
      <c r="HF228" s="23" cm="1">
        <f t="array" aca="1" ref="HF228" ca="1">IFERROR(IF(HI228="","",TEXT(DAY(HH228)&amp;"/"&amp;MONTH(INDIRECT("HG"&amp;HL228))&amp;"/"&amp;YEAR(INDIRECT("HG"&amp;HL228))+0,"DD/MM/YYYY"))+0,"")</f>
        <v>46143</v>
      </c>
      <c r="HG228" s="1" t="str" cm="1">
        <f t="array" aca="1" ref="HG228:HK255" ca="1">IFERROR(
 _xlfn.LET(
  _xlpm.tabla,$I$3:$BB$43,
  _xlpm.cab,$O$2:$BB$2,
  _xlpm.base,COLUMN($O$2)-COLUMN($I$2)+1,
  _xlpm.k,MATCH(HG227,_xlpm.cab,0),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Monotributo IVAN</v>
      </c>
      <c r="HH228" s="1">
        <f ca="1"/>
        <v>1</v>
      </c>
      <c r="HI228" s="4">
        <f ca="1"/>
        <v>52280</v>
      </c>
      <c r="HJ228" s="1" t="str">
        <f ca="1"/>
        <v/>
      </c>
      <c r="HK228" s="1" t="str">
        <f ca="1"/>
        <v/>
      </c>
      <c r="HL228" s="1">
        <f t="shared" ca="1" si="85"/>
        <v>227</v>
      </c>
    </row>
    <row r="229" spans="214:220" x14ac:dyDescent="0.2">
      <c r="HF229" s="23" cm="1">
        <f t="array" aca="1" ref="HF229" ca="1">IFERROR(IF(HI229="","",TEXT(DAY(HH229)&amp;"/"&amp;MONTH(INDIRECT("HG"&amp;HL229))&amp;"/"&amp;YEAR(INDIRECT("HG"&amp;HL229))+0,"DD/MM/YYYY"))+0,"")</f>
        <v>46143</v>
      </c>
      <c r="HG229" s="1" t="str">
        <f ca="1"/>
        <v>Monotributo Mayeski</v>
      </c>
      <c r="HH229" s="1">
        <f ca="1"/>
        <v>1</v>
      </c>
      <c r="HI229" s="4">
        <f ca="1"/>
        <v>52280</v>
      </c>
      <c r="HJ229" s="1" t="str">
        <f ca="1"/>
        <v/>
      </c>
      <c r="HK229" s="1" t="str">
        <f ca="1"/>
        <v/>
      </c>
      <c r="HL229" s="1">
        <f t="shared" ca="1" si="85"/>
        <v>227</v>
      </c>
    </row>
    <row r="230" spans="214:220" x14ac:dyDescent="0.2">
      <c r="HF230" s="23" cm="1">
        <f t="array" aca="1" ref="HF230" ca="1">IFERROR(IF(HI230="","",TEXT(DAY(HH230)&amp;"/"&amp;MONTH(INDIRECT("HG"&amp;HL230))&amp;"/"&amp;YEAR(INDIRECT("HG"&amp;HL230))+0,"DD/MM/YYYY"))+0,"")</f>
        <v>46143</v>
      </c>
      <c r="HG230" s="1" t="str">
        <f ca="1"/>
        <v>Monotributo David</v>
      </c>
      <c r="HH230" s="1">
        <f ca="1"/>
        <v>1</v>
      </c>
      <c r="HI230" s="4">
        <f ca="1"/>
        <v>42246</v>
      </c>
      <c r="HJ230" s="1" t="str">
        <f ca="1"/>
        <v/>
      </c>
      <c r="HK230" s="1" t="str">
        <f ca="1"/>
        <v/>
      </c>
      <c r="HL230" s="1">
        <f t="shared" ca="1" si="85"/>
        <v>227</v>
      </c>
    </row>
    <row r="231" spans="214:220" x14ac:dyDescent="0.2">
      <c r="HF231" s="23" cm="1">
        <f t="array" aca="1" ref="HF231" ca="1">IFERROR(IF(HI231="","",TEXT(DAY(HH231)&amp;"/"&amp;MONTH(INDIRECT("HG"&amp;HL231))&amp;"/"&amp;YEAR(INDIRECT("HG"&amp;HL231))+0,"DD/MM/YYYY"))+0,"")</f>
        <v>46143</v>
      </c>
      <c r="HG231" s="1" t="str">
        <f ca="1"/>
        <v>Movistar</v>
      </c>
      <c r="HH231" s="1">
        <f ca="1"/>
        <v>1</v>
      </c>
      <c r="HI231" s="4">
        <f ca="1"/>
        <v>10350</v>
      </c>
      <c r="HJ231" s="1" t="str">
        <f ca="1"/>
        <v/>
      </c>
      <c r="HK231" s="1" t="str">
        <f ca="1"/>
        <v/>
      </c>
      <c r="HL231" s="1">
        <f t="shared" ca="1" si="85"/>
        <v>227</v>
      </c>
    </row>
    <row r="232" spans="214:220" x14ac:dyDescent="0.2">
      <c r="HF232" s="23" cm="1">
        <f t="array" aca="1" ref="HF232" ca="1">IFERROR(IF(HI232="","",TEXT(DAY(HH232)&amp;"/"&amp;MONTH(INDIRECT("HG"&amp;HL232))&amp;"/"&amp;YEAR(INDIRECT("HG"&amp;HL232))+0,"DD/MM/YYYY"))+0,"")</f>
        <v>46143</v>
      </c>
      <c r="HG232" s="1" t="str">
        <f ca="1"/>
        <v>Victoria Seguros</v>
      </c>
      <c r="HH232" s="1">
        <f ca="1"/>
        <v>1</v>
      </c>
      <c r="HI232" s="4">
        <f ca="1"/>
        <v>123878</v>
      </c>
      <c r="HJ232" s="1" t="str">
        <f ca="1"/>
        <v/>
      </c>
      <c r="HK232" s="1" t="str">
        <f ca="1"/>
        <v/>
      </c>
      <c r="HL232" s="1">
        <f t="shared" ca="1" si="85"/>
        <v>227</v>
      </c>
    </row>
    <row r="233" spans="214:220" x14ac:dyDescent="0.2">
      <c r="HF233" s="23" cm="1">
        <f t="array" aca="1" ref="HF233" ca="1">IFERROR(IF(HI233="","",TEXT(DAY(HH233)&amp;"/"&amp;MONTH(INDIRECT("HG"&amp;HL233))&amp;"/"&amp;YEAR(INDIRECT("HG"&amp;HL233))+0,"DD/MM/YYYY"))+0,"")</f>
        <v>46144</v>
      </c>
      <c r="HG233" s="1" t="str">
        <f ca="1"/>
        <v>Aseg. Motovehicular</v>
      </c>
      <c r="HH233" s="1">
        <f ca="1"/>
        <v>2</v>
      </c>
      <c r="HI233" s="4">
        <f ca="1"/>
        <v>141512.71</v>
      </c>
      <c r="HJ233" s="1" t="str">
        <f ca="1"/>
        <v/>
      </c>
      <c r="HK233" s="1" t="str">
        <f ca="1"/>
        <v/>
      </c>
      <c r="HL233" s="1">
        <f t="shared" ca="1" si="85"/>
        <v>227</v>
      </c>
    </row>
    <row r="234" spans="214:220" x14ac:dyDescent="0.2">
      <c r="HF234" s="23" cm="1">
        <f t="array" aca="1" ref="HF234" ca="1">IFERROR(IF(HI234="","",TEXT(DAY(HH234)&amp;"/"&amp;MONTH(INDIRECT("HG"&amp;HL234))&amp;"/"&amp;YEAR(INDIRECT("HG"&amp;HL234))+0,"DD/MM/YYYY"))+0,"")</f>
        <v>46144</v>
      </c>
      <c r="HG234" s="1" t="str">
        <f ca="1"/>
        <v>Personal Flow</v>
      </c>
      <c r="HH234" s="1">
        <f ca="1"/>
        <v>2</v>
      </c>
      <c r="HI234" s="4">
        <f ca="1"/>
        <v>71670</v>
      </c>
      <c r="HJ234" s="1" t="str">
        <f ca="1"/>
        <v/>
      </c>
      <c r="HK234" s="1" t="str">
        <f ca="1"/>
        <v/>
      </c>
      <c r="HL234" s="1">
        <f t="shared" ca="1" si="85"/>
        <v>227</v>
      </c>
    </row>
    <row r="235" spans="214:220" x14ac:dyDescent="0.2">
      <c r="HF235" s="23" cm="1">
        <f t="array" aca="1" ref="HF235" ca="1">IFERROR(IF(HI235="","",TEXT(DAY(HH235)&amp;"/"&amp;MONTH(INDIRECT("HG"&amp;HL235))&amp;"/"&amp;YEAR(INDIRECT("HG"&amp;HL235))+0,"DD/MM/YYYY"))+0,"")</f>
        <v>46146</v>
      </c>
      <c r="HG235" s="1" t="str">
        <f ca="1"/>
        <v>Tarjeta Galicia - VISA</v>
      </c>
      <c r="HH235" s="1">
        <f ca="1"/>
        <v>4</v>
      </c>
      <c r="HI235" s="4">
        <f ca="1"/>
        <v>572116.25</v>
      </c>
      <c r="HJ235" s="1" t="str">
        <f ca="1"/>
        <v/>
      </c>
      <c r="HK235" s="1" t="str">
        <f ca="1"/>
        <v>OK</v>
      </c>
      <c r="HL235" s="1">
        <f t="shared" ca="1" si="85"/>
        <v>227</v>
      </c>
    </row>
    <row r="236" spans="214:220" x14ac:dyDescent="0.2">
      <c r="HF236" s="23" cm="1">
        <f t="array" aca="1" ref="HF236" ca="1">IFERROR(IF(HI236="","",TEXT(DAY(HH236)&amp;"/"&amp;MONTH(INDIRECT("HG"&amp;HL236))&amp;"/"&amp;YEAR(INDIRECT("HG"&amp;HL236))+0,"DD/MM/YYYY"))+0,"")</f>
        <v>46148</v>
      </c>
      <c r="HG236" s="1" t="str">
        <f ca="1"/>
        <v>Autonomo</v>
      </c>
      <c r="HH236" s="1">
        <f ca="1"/>
        <v>6</v>
      </c>
      <c r="HI236" s="4">
        <f ca="1"/>
        <v>95639.62</v>
      </c>
      <c r="HJ236" s="1" t="str">
        <f ca="1"/>
        <v/>
      </c>
      <c r="HK236" s="1" t="str">
        <f ca="1"/>
        <v/>
      </c>
      <c r="HL236" s="1">
        <f t="shared" ca="1" si="85"/>
        <v>227</v>
      </c>
    </row>
    <row r="237" spans="214:220" x14ac:dyDescent="0.2">
      <c r="HF237" s="23" cm="1">
        <f t="array" aca="1" ref="HF237" ca="1">IFERROR(IF(HI237="","",TEXT(DAY(HH237)&amp;"/"&amp;MONTH(INDIRECT("HG"&amp;HL237))&amp;"/"&amp;YEAR(INDIRECT("HG"&amp;HL237))+0,"DD/MM/YYYY"))+0,"")</f>
        <v>46149</v>
      </c>
      <c r="HG237" s="1" t="str">
        <f ca="1"/>
        <v>Tarjeta ICBC</v>
      </c>
      <c r="HH237" s="1">
        <f ca="1"/>
        <v>7</v>
      </c>
      <c r="HI237" s="4">
        <f ca="1"/>
        <v>364040.33</v>
      </c>
      <c r="HJ237" s="1" t="str">
        <f ca="1"/>
        <v/>
      </c>
      <c r="HK237" s="1" t="str">
        <f ca="1"/>
        <v/>
      </c>
      <c r="HL237" s="1">
        <f t="shared" ca="1" si="85"/>
        <v>227</v>
      </c>
    </row>
    <row r="238" spans="214:220" x14ac:dyDescent="0.2">
      <c r="HF238" s="23" cm="1">
        <f t="array" aca="1" ref="HF238" ca="1">IFERROR(IF(HI238="","",TEXT(DAY(HH238)&amp;"/"&amp;MONTH(INDIRECT("HG"&amp;HL238))&amp;"/"&amp;YEAR(INDIRECT("HG"&amp;HL238))+0,"DD/MM/YYYY"))+0,"")</f>
        <v>46150</v>
      </c>
      <c r="HG238" s="1" t="str">
        <f ca="1"/>
        <v>Tarjeta Santander Rio - VISA</v>
      </c>
      <c r="HH238" s="1">
        <f ca="1"/>
        <v>8</v>
      </c>
      <c r="HI238" s="4">
        <f ca="1"/>
        <v>1763089.41</v>
      </c>
      <c r="HJ238" s="1" t="str">
        <f ca="1"/>
        <v/>
      </c>
      <c r="HK238" s="1" t="str">
        <f ca="1"/>
        <v/>
      </c>
      <c r="HL238" s="1">
        <f t="shared" ca="1" si="85"/>
        <v>227</v>
      </c>
    </row>
    <row r="239" spans="214:220" x14ac:dyDescent="0.2">
      <c r="HF239" s="23" cm="1">
        <f t="array" aca="1" ref="HF239" ca="1">IFERROR(IF(HI239="","",TEXT(DAY(HH239)&amp;"/"&amp;MONTH(INDIRECT("HG"&amp;HL239))&amp;"/"&amp;YEAR(INDIRECT("HG"&amp;HL239))+0,"DD/MM/YYYY"))+0,"")</f>
        <v>46151</v>
      </c>
      <c r="HG239" s="1" t="str">
        <f ca="1"/>
        <v>Tarjeta Santander Rio - AMEX</v>
      </c>
      <c r="HH239" s="1">
        <f ca="1"/>
        <v>9</v>
      </c>
      <c r="HI239" s="4">
        <f ca="1"/>
        <v>40749</v>
      </c>
      <c r="HJ239" s="1" t="str">
        <f ca="1"/>
        <v/>
      </c>
      <c r="HK239" s="1" t="str">
        <f ca="1"/>
        <v/>
      </c>
      <c r="HL239" s="1">
        <f t="shared" ca="1" si="85"/>
        <v>227</v>
      </c>
    </row>
    <row r="240" spans="214:220" x14ac:dyDescent="0.2">
      <c r="HF240" s="23" cm="1">
        <f t="array" aca="1" ref="HF240" ca="1">IFERROR(IF(HI240="","",TEXT(DAY(HH240)&amp;"/"&amp;MONTH(INDIRECT("HG"&amp;HL240))&amp;"/"&amp;YEAR(INDIRECT("HG"&amp;HL240))+0,"DD/MM/YYYY"))+0,"")</f>
        <v>46152</v>
      </c>
      <c r="HG240" s="1" t="str">
        <f ca="1"/>
        <v>Alquiler Distribuidora</v>
      </c>
      <c r="HH240" s="1">
        <f ca="1"/>
        <v>10</v>
      </c>
      <c r="HI240" s="4">
        <f ca="1"/>
        <v>600000</v>
      </c>
      <c r="HJ240" s="1" t="str">
        <f ca="1"/>
        <v/>
      </c>
      <c r="HK240" s="1" t="str">
        <f ca="1"/>
        <v/>
      </c>
      <c r="HL240" s="1">
        <f t="shared" ca="1" si="85"/>
        <v>227</v>
      </c>
    </row>
    <row r="241" spans="214:220" x14ac:dyDescent="0.2">
      <c r="HF241" s="23" cm="1">
        <f t="array" aca="1" ref="HF241" ca="1">IFERROR(IF(HI241="","",TEXT(DAY(HH241)&amp;"/"&amp;MONTH(INDIRECT("HG"&amp;HL241))&amp;"/"&amp;YEAR(INDIRECT("HG"&amp;HL241))+0,"DD/MM/YYYY"))+0,"")</f>
        <v>46152</v>
      </c>
      <c r="HG241" s="1" t="str">
        <f ca="1"/>
        <v>Alquiler Casa</v>
      </c>
      <c r="HH241" s="1">
        <f ca="1"/>
        <v>10</v>
      </c>
      <c r="HI241" s="4">
        <f ca="1"/>
        <v>350000</v>
      </c>
      <c r="HJ241" s="1" t="str">
        <f ca="1"/>
        <v/>
      </c>
      <c r="HK241" s="1" t="str">
        <f ca="1"/>
        <v/>
      </c>
      <c r="HL241" s="1">
        <f t="shared" ca="1" si="85"/>
        <v>227</v>
      </c>
    </row>
    <row r="242" spans="214:220" x14ac:dyDescent="0.2">
      <c r="HF242" s="23" cm="1">
        <f t="array" aca="1" ref="HF242" ca="1">IFERROR(IF(HI242="","",TEXT(DAY(HH242)&amp;"/"&amp;MONTH(INDIRECT("HG"&amp;HL242))&amp;"/"&amp;YEAR(INDIRECT("HG"&amp;HL242))+0,"DD/MM/YYYY"))+0,"")</f>
        <v>46152</v>
      </c>
      <c r="HG242" s="1" t="str">
        <f ca="1"/>
        <v>Mel diseño grafico</v>
      </c>
      <c r="HH242" s="1">
        <f ca="1"/>
        <v>10</v>
      </c>
      <c r="HI242" s="4">
        <f ca="1"/>
        <v>430000</v>
      </c>
      <c r="HJ242" s="1" t="str">
        <f ca="1"/>
        <v/>
      </c>
      <c r="HK242" s="1" t="str">
        <f ca="1"/>
        <v/>
      </c>
      <c r="HL242" s="1">
        <f t="shared" ca="1" si="85"/>
        <v>227</v>
      </c>
    </row>
    <row r="243" spans="214:220" x14ac:dyDescent="0.2">
      <c r="HF243" s="23" cm="1">
        <f t="array" aca="1" ref="HF243" ca="1">IFERROR(IF(HI243="","",TEXT(DAY(HH243)&amp;"/"&amp;MONTH(INDIRECT("HG"&amp;HL243))&amp;"/"&amp;YEAR(INDIRECT("HG"&amp;HL243))+0,"DD/MM/YYYY"))+0,"")</f>
        <v>46152</v>
      </c>
      <c r="HG243" s="1" t="str">
        <f ca="1"/>
        <v>Contador</v>
      </c>
      <c r="HH243" s="1">
        <f ca="1"/>
        <v>10</v>
      </c>
      <c r="HI243" s="4">
        <f ca="1"/>
        <v>165000</v>
      </c>
      <c r="HJ243" s="1" t="str">
        <f ca="1"/>
        <v/>
      </c>
      <c r="HK243" s="1" t="str">
        <f ca="1"/>
        <v/>
      </c>
      <c r="HL243" s="1">
        <f t="shared" ca="1" si="85"/>
        <v>227</v>
      </c>
    </row>
    <row r="244" spans="214:220" x14ac:dyDescent="0.2">
      <c r="HF244" s="23" cm="1">
        <f t="array" aca="1" ref="HF244" ca="1">IFERROR(IF(HI244="","",TEXT(DAY(HH244)&amp;"/"&amp;MONTH(INDIRECT("HG"&amp;HL244))&amp;"/"&amp;YEAR(INDIRECT("HG"&amp;HL244))+0,"DD/MM/YYYY"))+0,"")</f>
        <v>46152</v>
      </c>
      <c r="HG244" s="1" t="str">
        <f ca="1"/>
        <v>Cargas Sociales</v>
      </c>
      <c r="HH244" s="1">
        <f ca="1"/>
        <v>10</v>
      </c>
      <c r="HI244" s="4">
        <f ca="1"/>
        <v>831762</v>
      </c>
      <c r="HJ244" s="1" t="str">
        <f ca="1"/>
        <v/>
      </c>
      <c r="HK244" s="1" t="str">
        <f ca="1"/>
        <v/>
      </c>
      <c r="HL244" s="1">
        <f t="shared" ca="1" si="85"/>
        <v>227</v>
      </c>
    </row>
    <row r="245" spans="214:220" x14ac:dyDescent="0.2">
      <c r="HF245" s="23" cm="1">
        <f t="array" aca="1" ref="HF245" ca="1">IFERROR(IF(HI245="","",TEXT(DAY(HH245)&amp;"/"&amp;MONTH(INDIRECT("HG"&amp;HL245))&amp;"/"&amp;YEAR(INDIRECT("HG"&amp;HL245))+0,"DD/MM/YYYY"))+0,"")</f>
        <v>46156</v>
      </c>
      <c r="HG245" s="1" t="str">
        <f ca="1"/>
        <v>Prestamo Galicia - SGR</v>
      </c>
      <c r="HH245" s="1">
        <f ca="1"/>
        <v>14</v>
      </c>
      <c r="HI245" s="4">
        <f ca="1"/>
        <v>1437968.04</v>
      </c>
      <c r="HJ245" s="1" t="str">
        <f ca="1"/>
        <v/>
      </c>
      <c r="HK245" s="1" t="str">
        <f ca="1"/>
        <v/>
      </c>
      <c r="HL245" s="1">
        <f t="shared" ca="1" si="85"/>
        <v>227</v>
      </c>
    </row>
    <row r="246" spans="214:220" x14ac:dyDescent="0.2">
      <c r="HF246" s="23" cm="1">
        <f t="array" aca="1" ref="HF246" ca="1">IFERROR(IF(HI246="","",TEXT(DAY(HH246)&amp;"/"&amp;MONTH(INDIRECT("HG"&amp;HL246))&amp;"/"&amp;YEAR(INDIRECT("HG"&amp;HL246))+0,"DD/MM/YYYY"))+0,"")</f>
        <v>46157</v>
      </c>
      <c r="HG246" s="1" t="str">
        <f ca="1"/>
        <v>Tarjeta Galicia + VISA</v>
      </c>
      <c r="HH246" s="1">
        <f ca="1"/>
        <v>15</v>
      </c>
      <c r="HI246" s="4">
        <f ca="1"/>
        <v>993345.68</v>
      </c>
      <c r="HJ246" s="1" t="str">
        <f ca="1"/>
        <v/>
      </c>
      <c r="HK246" s="1" t="str">
        <f ca="1"/>
        <v/>
      </c>
      <c r="HL246" s="1">
        <f t="shared" ca="1" si="85"/>
        <v>227</v>
      </c>
    </row>
    <row r="247" spans="214:220" x14ac:dyDescent="0.2">
      <c r="HF247" s="23" cm="1">
        <f t="array" aca="1" ref="HF247" ca="1">IFERROR(IF(HI247="","",TEXT(DAY(HH247)&amp;"/"&amp;MONTH(INDIRECT("HG"&amp;HL247))&amp;"/"&amp;YEAR(INDIRECT("HG"&amp;HL247))+0,"DD/MM/YYYY"))+0,"")</f>
        <v>46157</v>
      </c>
      <c r="HG247" s="1" t="str">
        <f ca="1"/>
        <v>Tarjeta Galicia - BUSINESS</v>
      </c>
      <c r="HH247" s="1">
        <f ca="1"/>
        <v>15</v>
      </c>
      <c r="HI247" s="4">
        <f ca="1"/>
        <v>848160</v>
      </c>
      <c r="HJ247" s="1" t="str">
        <f ca="1"/>
        <v/>
      </c>
      <c r="HK247" s="1" t="str">
        <f ca="1"/>
        <v/>
      </c>
      <c r="HL247" s="1">
        <f t="shared" ca="1" si="85"/>
        <v>227</v>
      </c>
    </row>
    <row r="248" spans="214:220" x14ac:dyDescent="0.2">
      <c r="HF248" s="23" cm="1">
        <f t="array" aca="1" ref="HF248" ca="1">IFERROR(IF(HI248="","",TEXT(DAY(HH248)&amp;"/"&amp;MONTH(INDIRECT("HG"&amp;HL248))&amp;"/"&amp;YEAR(INDIRECT("HG"&amp;HL248))+0,"DD/MM/YYYY"))+0,"")</f>
        <v>46158</v>
      </c>
      <c r="HG248" s="1" t="str">
        <f ca="1"/>
        <v>Cuota Facilidades IVA</v>
      </c>
      <c r="HH248" s="1">
        <f ca="1"/>
        <v>16</v>
      </c>
      <c r="HI248" s="4">
        <f ca="1"/>
        <v>446304</v>
      </c>
      <c r="HJ248" s="1" t="str">
        <f ca="1"/>
        <v/>
      </c>
      <c r="HK248" s="1" t="str">
        <f ca="1"/>
        <v/>
      </c>
      <c r="HL248" s="1">
        <f t="shared" ca="1" si="85"/>
        <v>227</v>
      </c>
    </row>
    <row r="249" spans="214:220" x14ac:dyDescent="0.2">
      <c r="HF249" s="23" cm="1">
        <f t="array" aca="1" ref="HF249" ca="1">IFERROR(IF(HI249="","",TEXT(DAY(HH249)&amp;"/"&amp;MONTH(INDIRECT("HG"&amp;HL249))&amp;"/"&amp;YEAR(INDIRECT("HG"&amp;HL249))+0,"DD/MM/YYYY"))+0,"")</f>
        <v>46158</v>
      </c>
      <c r="HG249" s="1" t="str">
        <f ca="1"/>
        <v>Cuota Facilidades IVA</v>
      </c>
      <c r="HH249" s="1">
        <f ca="1"/>
        <v>16</v>
      </c>
      <c r="HI249" s="4">
        <f ca="1"/>
        <v>410336</v>
      </c>
      <c r="HJ249" s="1" t="str">
        <f ca="1"/>
        <v/>
      </c>
      <c r="HK249" s="1" t="str">
        <f ca="1"/>
        <v/>
      </c>
      <c r="HL249" s="1">
        <f t="shared" ca="1" si="85"/>
        <v>227</v>
      </c>
    </row>
    <row r="250" spans="214:220" x14ac:dyDescent="0.2">
      <c r="HF250" s="23" cm="1">
        <f t="array" aca="1" ref="HF250" ca="1">IFERROR(IF(HI250="","",TEXT(DAY(HH250)&amp;"/"&amp;MONTH(INDIRECT("HG"&amp;HL250))&amp;"/"&amp;YEAR(INDIRECT("HG"&amp;HL250))+0,"DD/MM/YYYY"))+0,"")</f>
        <v>46158</v>
      </c>
      <c r="HG250" s="1" t="str">
        <f ca="1"/>
        <v>Personal Flow</v>
      </c>
      <c r="HH250" s="1">
        <f ca="1"/>
        <v>16</v>
      </c>
      <c r="HI250" s="4">
        <f ca="1"/>
        <v>89083</v>
      </c>
      <c r="HJ250" s="1" t="str">
        <f ca="1"/>
        <v/>
      </c>
      <c r="HK250" s="1" t="str">
        <f ca="1"/>
        <v/>
      </c>
      <c r="HL250" s="1">
        <f t="shared" ca="1" si="85"/>
        <v>227</v>
      </c>
    </row>
    <row r="251" spans="214:220" x14ac:dyDescent="0.2">
      <c r="HF251" s="23" cm="1">
        <f t="array" aca="1" ref="HF251" ca="1">IFERROR(IF(HI251="","",TEXT(DAY(HH251)&amp;"/"&amp;MONTH(INDIRECT("HG"&amp;HL251))&amp;"/"&amp;YEAR(INDIRECT("HG"&amp;HL251))+0,"DD/MM/YYYY"))+0,"")</f>
        <v>46161</v>
      </c>
      <c r="HG251" s="1" t="str">
        <f ca="1"/>
        <v>Prestamo Galicia +</v>
      </c>
      <c r="HH251" s="1">
        <f ca="1"/>
        <v>19</v>
      </c>
      <c r="HI251" s="4">
        <f ca="1"/>
        <v>1311628.8700000001</v>
      </c>
      <c r="HJ251" s="1" t="str">
        <f ca="1"/>
        <v/>
      </c>
      <c r="HK251" s="1" t="str">
        <f ca="1"/>
        <v/>
      </c>
      <c r="HL251" s="1">
        <f t="shared" ca="1" si="85"/>
        <v>227</v>
      </c>
    </row>
    <row r="252" spans="214:220" x14ac:dyDescent="0.2">
      <c r="HF252" s="23" cm="1">
        <f t="array" aca="1" ref="HF252" ca="1">IFERROR(IF(HI252="","",TEXT(DAY(HH252)&amp;"/"&amp;MONTH(INDIRECT("HG"&amp;HL252))&amp;"/"&amp;YEAR(INDIRECT("HG"&amp;HL252))+0,"DD/MM/YYYY"))+0,"")</f>
        <v>46162</v>
      </c>
      <c r="HG252" s="1" t="str">
        <f ca="1"/>
        <v>BS Gestion</v>
      </c>
      <c r="HH252" s="1">
        <f ca="1"/>
        <v>20</v>
      </c>
      <c r="HI252" s="4">
        <f ca="1"/>
        <v>382511.25</v>
      </c>
      <c r="HJ252" s="1" t="str">
        <f ca="1"/>
        <v/>
      </c>
      <c r="HK252" s="1" t="str">
        <f ca="1"/>
        <v/>
      </c>
      <c r="HL252" s="1">
        <f t="shared" ca="1" si="85"/>
        <v>227</v>
      </c>
    </row>
    <row r="253" spans="214:220" x14ac:dyDescent="0.2">
      <c r="HF253" s="23" cm="1">
        <f t="array" aca="1" ref="HF253" ca="1">IFERROR(IF(HI253="","",TEXT(DAY(HH253)&amp;"/"&amp;MONTH(INDIRECT("HG"&amp;HL253))&amp;"/"&amp;YEAR(INDIRECT("HG"&amp;HL253))+0,"DD/MM/YYYY"))+0,"")</f>
        <v>46164</v>
      </c>
      <c r="HG253" s="1" t="str">
        <f ca="1"/>
        <v>Seguros Rivadavía</v>
      </c>
      <c r="HH253" s="1">
        <f ca="1"/>
        <v>22</v>
      </c>
      <c r="HI253" s="4">
        <f ca="1"/>
        <v>93593</v>
      </c>
      <c r="HJ253" s="1" t="str">
        <f ca="1"/>
        <v/>
      </c>
      <c r="HK253" s="1" t="str">
        <f ca="1"/>
        <v/>
      </c>
      <c r="HL253" s="1">
        <f t="shared" ca="1" si="85"/>
        <v>227</v>
      </c>
    </row>
    <row r="254" spans="214:220" x14ac:dyDescent="0.2">
      <c r="HF254" s="23" cm="1">
        <f t="array" aca="1" ref="HF254" ca="1">IFERROR(IF(HI254="","",TEXT(DAY(HH254)&amp;"/"&amp;MONTH(INDIRECT("HG"&amp;HL254))&amp;"/"&amp;YEAR(INDIRECT("HG"&amp;HL254))+0,"DD/MM/YYYY"))+0,"")</f>
        <v>46166</v>
      </c>
      <c r="HG254" s="1" t="str">
        <f ca="1"/>
        <v>Prestamo Santander Rio</v>
      </c>
      <c r="HH254" s="1">
        <f ca="1"/>
        <v>24</v>
      </c>
      <c r="HI254" s="4">
        <f ca="1"/>
        <v>872520</v>
      </c>
      <c r="HJ254" s="1" t="str">
        <f ca="1"/>
        <v/>
      </c>
      <c r="HK254" s="1" t="str">
        <f ca="1"/>
        <v/>
      </c>
      <c r="HL254" s="1">
        <f t="shared" ca="1" si="85"/>
        <v>227</v>
      </c>
    </row>
    <row r="255" spans="214:220" x14ac:dyDescent="0.2">
      <c r="HF255" s="23" cm="1">
        <f t="array" aca="1" ref="HF255" ca="1">IFERROR(IF(HI255="","",TEXT(DAY(HH255)&amp;"/"&amp;MONTH(INDIRECT("HG"&amp;HL255))&amp;"/"&amp;YEAR(INDIRECT("HG"&amp;HL255))+0,"DD/MM/YYYY"))+0,"")</f>
        <v>46169</v>
      </c>
      <c r="HG255" s="1" t="str">
        <f ca="1"/>
        <v>Prestamo Galicia +</v>
      </c>
      <c r="HH255" s="1">
        <f ca="1"/>
        <v>27</v>
      </c>
      <c r="HI255" s="4">
        <f ca="1"/>
        <v>299449</v>
      </c>
      <c r="HJ255" s="1" t="str">
        <f ca="1"/>
        <v/>
      </c>
      <c r="HK255" s="1" t="str">
        <f ca="1"/>
        <v/>
      </c>
      <c r="HL255" s="1">
        <f t="shared" ca="1" si="85"/>
        <v>227</v>
      </c>
    </row>
    <row r="256" spans="214:220" x14ac:dyDescent="0.2">
      <c r="HF256" s="23" t="str" cm="1">
        <f t="array" aca="1" ref="HF256" ca="1">IFERROR(IF(HI256="","",TEXT(DAY(HH256)&amp;"/"&amp;MONTH(INDIRECT("HG"&amp;HL256))&amp;"/"&amp;YEAR(INDIRECT("HG"&amp;HL256))+0,"DD/MM/YYYY"))+0,"")</f>
        <v/>
      </c>
      <c r="HL256" s="1">
        <f t="shared" ca="1" si="85"/>
        <v>227</v>
      </c>
    </row>
    <row r="257" spans="214:220" x14ac:dyDescent="0.2">
      <c r="HF257" s="23" t="str" cm="1">
        <f t="array" aca="1" ref="HF257" ca="1">IFERROR(IF(HI257="","",TEXT(DAY(HH257)&amp;"/"&amp;MONTH(INDIRECT("HG"&amp;HL257))&amp;"/"&amp;YEAR(INDIRECT("HG"&amp;HL257))+0,"DD/MM/YYYY"))+0,"")</f>
        <v/>
      </c>
      <c r="HL257" s="1">
        <f t="shared" ca="1" si="85"/>
        <v>227</v>
      </c>
    </row>
    <row r="258" spans="214:220" x14ac:dyDescent="0.2">
      <c r="HF258" s="23" t="str" cm="1">
        <f t="array" aca="1" ref="HF258" ca="1">IFERROR(IF(HI258="","",TEXT(DAY(HH258)&amp;"/"&amp;MONTH(INDIRECT("HG"&amp;HL258))&amp;"/"&amp;YEAR(INDIRECT("HG"&amp;HL258))+0,"DD/MM/YYYY"))+0,"")</f>
        <v/>
      </c>
      <c r="HL258" s="1">
        <f t="shared" ca="1" si="85"/>
        <v>227</v>
      </c>
    </row>
    <row r="259" spans="214:220" x14ac:dyDescent="0.2">
      <c r="HF259" s="23" t="str" cm="1">
        <f t="array" aca="1" ref="HF259" ca="1">IFERROR(IF(HI259="","",TEXT(DAY(HH259)&amp;"/"&amp;MONTH(INDIRECT("HG"&amp;HL259))&amp;"/"&amp;YEAR(INDIRECT("HG"&amp;HL259))+0,"DD/MM/YYYY"))+0,"")</f>
        <v/>
      </c>
      <c r="HL259" s="1">
        <f t="shared" ca="1" si="85"/>
        <v>227</v>
      </c>
    </row>
    <row r="260" spans="214:220" x14ac:dyDescent="0.2">
      <c r="HF260" s="23" t="str" cm="1">
        <f t="array" aca="1" ref="HF260" ca="1">IFERROR(IF(HI260="","",TEXT(DAY(HH260)&amp;"/"&amp;MONTH(INDIRECT("HG"&amp;HL260))&amp;"/"&amp;YEAR(INDIRECT("HG"&amp;HL260))+0,"DD/MM/YYYY"))+0,"")</f>
        <v/>
      </c>
      <c r="HL260" s="1">
        <f t="shared" ca="1" si="85"/>
        <v>227</v>
      </c>
    </row>
    <row r="261" spans="214:220" x14ac:dyDescent="0.2">
      <c r="HF261" s="23" t="str" cm="1">
        <f t="array" aca="1" ref="HF261" ca="1">IFERROR(IF(HI261="","",TEXT(DAY(HH261)&amp;"/"&amp;MONTH(INDIRECT("HG"&amp;HL261))&amp;"/"&amp;YEAR(INDIRECT("HG"&amp;HL261))+0,"DD/MM/YYYY"))+0,"")</f>
        <v/>
      </c>
      <c r="HL261" s="1">
        <f t="shared" ref="HL261:HL324" ca="1" si="86">+IF(ISNUMBER(HG261),ROW(),HL260)</f>
        <v>227</v>
      </c>
    </row>
    <row r="262" spans="214:220" x14ac:dyDescent="0.2">
      <c r="HF262" s="23" t="str" cm="1">
        <f t="array" aca="1" ref="HF262" ca="1">IFERROR(IF(HI262="","",TEXT(DAY(HH262)&amp;"/"&amp;MONTH(INDIRECT("HG"&amp;HL262))&amp;"/"&amp;YEAR(INDIRECT("HG"&amp;HL262))+0,"DD/MM/YYYY"))+0,"")</f>
        <v/>
      </c>
      <c r="HL262" s="1">
        <f t="shared" ca="1" si="86"/>
        <v>227</v>
      </c>
    </row>
    <row r="263" spans="214:220" x14ac:dyDescent="0.2">
      <c r="HF263" s="23" t="str" cm="1">
        <f t="array" aca="1" ref="HF263" ca="1">IFERROR(IF(HI263="","",TEXT(DAY(HH263)&amp;"/"&amp;MONTH(INDIRECT("HG"&amp;HL263))&amp;"/"&amp;YEAR(INDIRECT("HG"&amp;HL263))+0,"DD/MM/YYYY"))+0,"")</f>
        <v/>
      </c>
      <c r="HL263" s="1">
        <f t="shared" ca="1" si="86"/>
        <v>227</v>
      </c>
    </row>
    <row r="264" spans="214:220" x14ac:dyDescent="0.2">
      <c r="HF264" s="23" t="str" cm="1">
        <f t="array" aca="1" ref="HF264" ca="1">IFERROR(IF(HI264="","",TEXT(DAY(HH264)&amp;"/"&amp;MONTH(INDIRECT("HG"&amp;HL264))&amp;"/"&amp;YEAR(INDIRECT("HG"&amp;HL264))+0,"DD/MM/YYYY"))+0,"")</f>
        <v/>
      </c>
      <c r="HL264" s="1">
        <f t="shared" ca="1" si="86"/>
        <v>227</v>
      </c>
    </row>
    <row r="265" spans="214:220" x14ac:dyDescent="0.2">
      <c r="HF265" s="23" t="str" cm="1">
        <f t="array" aca="1" ref="HF265" ca="1">IFERROR(IF(HI265="","",TEXT(DAY(HH265)&amp;"/"&amp;MONTH(INDIRECT("HG"&amp;HL265))&amp;"/"&amp;YEAR(INDIRECT("HG"&amp;HL265))+0,"DD/MM/YYYY"))+0,"")</f>
        <v/>
      </c>
      <c r="HG265" s="44">
        <f>+EDATE(HG227,1)</f>
        <v>46174</v>
      </c>
      <c r="HL265" s="1">
        <f t="shared" si="86"/>
        <v>265</v>
      </c>
    </row>
    <row r="266" spans="214:220" x14ac:dyDescent="0.2">
      <c r="HF266" s="23" cm="1">
        <f t="array" aca="1" ref="HF266" ca="1">IFERROR(IF(HI266="","",TEXT(DAY(HH266)&amp;"/"&amp;MONTH(INDIRECT("HG"&amp;HL266))&amp;"/"&amp;YEAR(INDIRECT("HG"&amp;HL266))+0,"DD/MM/YYYY"))+0,"")</f>
        <v>46174</v>
      </c>
      <c r="HG266" s="1" t="str" cm="1">
        <f t="array" aca="1" ref="HG266:HK289" ca="1">IFERROR(
 _xlfn.LET(
  _xlpm.tabla,$I$3:$BB$43,
  _xlpm.cab,$O$2:$BB$2,
  _xlpm.base,COLUMN($O$2)-COLUMN($I$2)+1,
  _xlpm.k,MATCH(HG265,_xlpm.cab,0),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Monotributo IVAN</v>
      </c>
      <c r="HH266" s="1">
        <f ca="1"/>
        <v>1</v>
      </c>
      <c r="HI266" s="4">
        <f ca="1"/>
        <v>52280</v>
      </c>
      <c r="HJ266" s="1" t="str">
        <f ca="1"/>
        <v/>
      </c>
      <c r="HK266" s="1" t="str">
        <f ca="1"/>
        <v/>
      </c>
      <c r="HL266" s="1">
        <f t="shared" ca="1" si="86"/>
        <v>265</v>
      </c>
    </row>
    <row r="267" spans="214:220" x14ac:dyDescent="0.2">
      <c r="HF267" s="23" cm="1">
        <f t="array" aca="1" ref="HF267" ca="1">IFERROR(IF(HI267="","",TEXT(DAY(HH267)&amp;"/"&amp;MONTH(INDIRECT("HG"&amp;HL267))&amp;"/"&amp;YEAR(INDIRECT("HG"&amp;HL267))+0,"DD/MM/YYYY"))+0,"")</f>
        <v>46174</v>
      </c>
      <c r="HG267" s="1" t="str">
        <f ca="1"/>
        <v>Monotributo Mayeski</v>
      </c>
      <c r="HH267" s="1">
        <f ca="1"/>
        <v>1</v>
      </c>
      <c r="HI267" s="4">
        <f ca="1"/>
        <v>52280</v>
      </c>
      <c r="HJ267" s="1" t="str">
        <f ca="1"/>
        <v/>
      </c>
      <c r="HK267" s="1" t="str">
        <f ca="1"/>
        <v/>
      </c>
      <c r="HL267" s="1">
        <f t="shared" ca="1" si="86"/>
        <v>265</v>
      </c>
    </row>
    <row r="268" spans="214:220" x14ac:dyDescent="0.2">
      <c r="HF268" s="23" cm="1">
        <f t="array" aca="1" ref="HF268" ca="1">IFERROR(IF(HI268="","",TEXT(DAY(HH268)&amp;"/"&amp;MONTH(INDIRECT("HG"&amp;HL268))&amp;"/"&amp;YEAR(INDIRECT("HG"&amp;HL268))+0,"DD/MM/YYYY"))+0,"")</f>
        <v>46174</v>
      </c>
      <c r="HG268" s="1" t="str">
        <f ca="1"/>
        <v>Monotributo David</v>
      </c>
      <c r="HH268" s="1">
        <f ca="1"/>
        <v>1</v>
      </c>
      <c r="HI268" s="4">
        <f ca="1"/>
        <v>42246</v>
      </c>
      <c r="HJ268" s="1" t="str">
        <f ca="1"/>
        <v/>
      </c>
      <c r="HK268" s="1" t="str">
        <f ca="1"/>
        <v/>
      </c>
      <c r="HL268" s="1">
        <f t="shared" ca="1" si="86"/>
        <v>265</v>
      </c>
    </row>
    <row r="269" spans="214:220" x14ac:dyDescent="0.2">
      <c r="HF269" s="23" cm="1">
        <f t="array" aca="1" ref="HF269" ca="1">IFERROR(IF(HI269="","",TEXT(DAY(HH269)&amp;"/"&amp;MONTH(INDIRECT("HG"&amp;HL269))&amp;"/"&amp;YEAR(INDIRECT("HG"&amp;HL269))+0,"DD/MM/YYYY"))+0,"")</f>
        <v>46174</v>
      </c>
      <c r="HG269" s="1" t="str">
        <f ca="1"/>
        <v>Movistar</v>
      </c>
      <c r="HH269" s="1">
        <f ca="1"/>
        <v>1</v>
      </c>
      <c r="HI269" s="4">
        <f ca="1"/>
        <v>10350</v>
      </c>
      <c r="HJ269" s="1" t="str">
        <f ca="1"/>
        <v/>
      </c>
      <c r="HK269" s="1" t="str">
        <f ca="1"/>
        <v/>
      </c>
      <c r="HL269" s="1">
        <f t="shared" ca="1" si="86"/>
        <v>265</v>
      </c>
    </row>
    <row r="270" spans="214:220" x14ac:dyDescent="0.2">
      <c r="HF270" s="23" cm="1">
        <f t="array" aca="1" ref="HF270" ca="1">IFERROR(IF(HI270="","",TEXT(DAY(HH270)&amp;"/"&amp;MONTH(INDIRECT("HG"&amp;HL270))&amp;"/"&amp;YEAR(INDIRECT("HG"&amp;HL270))+0,"DD/MM/YYYY"))+0,"")</f>
        <v>46174</v>
      </c>
      <c r="HG270" s="1" t="str">
        <f ca="1"/>
        <v>Victoria Seguros</v>
      </c>
      <c r="HH270" s="1">
        <f ca="1"/>
        <v>1</v>
      </c>
      <c r="HI270" s="4">
        <f ca="1"/>
        <v>123878</v>
      </c>
      <c r="HJ270" s="1" t="str">
        <f ca="1"/>
        <v/>
      </c>
      <c r="HK270" s="1" t="str">
        <f ca="1"/>
        <v/>
      </c>
      <c r="HL270" s="1">
        <f t="shared" ca="1" si="86"/>
        <v>265</v>
      </c>
    </row>
    <row r="271" spans="214:220" x14ac:dyDescent="0.2">
      <c r="HF271" s="23" cm="1">
        <f t="array" aca="1" ref="HF271" ca="1">IFERROR(IF(HI271="","",TEXT(DAY(HH271)&amp;"/"&amp;MONTH(INDIRECT("HG"&amp;HL271))&amp;"/"&amp;YEAR(INDIRECT("HG"&amp;HL271))+0,"DD/MM/YYYY"))+0,"")</f>
        <v>46175</v>
      </c>
      <c r="HG271" s="1" t="str">
        <f ca="1"/>
        <v>Aseg. Motovehicular</v>
      </c>
      <c r="HH271" s="1">
        <f ca="1"/>
        <v>2</v>
      </c>
      <c r="HI271" s="4">
        <f ca="1"/>
        <v>141512.71</v>
      </c>
      <c r="HJ271" s="1" t="str">
        <f ca="1"/>
        <v/>
      </c>
      <c r="HK271" s="1" t="str">
        <f ca="1"/>
        <v/>
      </c>
      <c r="HL271" s="1">
        <f t="shared" ca="1" si="86"/>
        <v>265</v>
      </c>
    </row>
    <row r="272" spans="214:220" x14ac:dyDescent="0.2">
      <c r="HF272" s="23" cm="1">
        <f t="array" aca="1" ref="HF272" ca="1">IFERROR(IF(HI272="","",TEXT(DAY(HH272)&amp;"/"&amp;MONTH(INDIRECT("HG"&amp;HL272))&amp;"/"&amp;YEAR(INDIRECT("HG"&amp;HL272))+0,"DD/MM/YYYY"))+0,"")</f>
        <v>46175</v>
      </c>
      <c r="HG272" s="1" t="str">
        <f ca="1"/>
        <v>Personal Flow</v>
      </c>
      <c r="HH272" s="1">
        <f ca="1"/>
        <v>2</v>
      </c>
      <c r="HI272" s="4">
        <f ca="1"/>
        <v>71670</v>
      </c>
      <c r="HJ272" s="1" t="str">
        <f ca="1"/>
        <v/>
      </c>
      <c r="HK272" s="1" t="str">
        <f ca="1"/>
        <v/>
      </c>
      <c r="HL272" s="1">
        <f t="shared" ca="1" si="86"/>
        <v>265</v>
      </c>
    </row>
    <row r="273" spans="214:220" x14ac:dyDescent="0.2">
      <c r="HF273" s="23" cm="1">
        <f t="array" aca="1" ref="HF273" ca="1">IFERROR(IF(HI273="","",TEXT(DAY(HH273)&amp;"/"&amp;MONTH(INDIRECT("HG"&amp;HL273))&amp;"/"&amp;YEAR(INDIRECT("HG"&amp;HL273))+0,"DD/MM/YYYY"))+0,"")</f>
        <v>46179</v>
      </c>
      <c r="HG273" s="1" t="str">
        <f ca="1"/>
        <v>Autonomo</v>
      </c>
      <c r="HH273" s="1">
        <f ca="1"/>
        <v>6</v>
      </c>
      <c r="HI273" s="4">
        <f ca="1"/>
        <v>95639.62</v>
      </c>
      <c r="HJ273" s="1" t="str">
        <f ca="1"/>
        <v/>
      </c>
      <c r="HK273" s="1" t="str">
        <f ca="1"/>
        <v/>
      </c>
      <c r="HL273" s="1">
        <f t="shared" ca="1" si="86"/>
        <v>265</v>
      </c>
    </row>
    <row r="274" spans="214:220" x14ac:dyDescent="0.2">
      <c r="HF274" s="23" cm="1">
        <f t="array" aca="1" ref="HF274" ca="1">IFERROR(IF(HI274="","",TEXT(DAY(HH274)&amp;"/"&amp;MONTH(INDIRECT("HG"&amp;HL274))&amp;"/"&amp;YEAR(INDIRECT("HG"&amp;HL274))+0,"DD/MM/YYYY"))+0,"")</f>
        <v>46180</v>
      </c>
      <c r="HG274" s="1" t="str">
        <f ca="1"/>
        <v>Tarjeta ICBC</v>
      </c>
      <c r="HH274" s="1">
        <f ca="1"/>
        <v>7</v>
      </c>
      <c r="HI274" s="4">
        <f ca="1"/>
        <v>364040.33</v>
      </c>
      <c r="HJ274" s="1" t="str">
        <f ca="1"/>
        <v/>
      </c>
      <c r="HK274" s="1" t="str">
        <f ca="1"/>
        <v/>
      </c>
      <c r="HL274" s="1">
        <f t="shared" ca="1" si="86"/>
        <v>265</v>
      </c>
    </row>
    <row r="275" spans="214:220" x14ac:dyDescent="0.2">
      <c r="HF275" s="23" cm="1">
        <f t="array" aca="1" ref="HF275" ca="1">IFERROR(IF(HI275="","",TEXT(DAY(HH275)&amp;"/"&amp;MONTH(INDIRECT("HG"&amp;HL275))&amp;"/"&amp;YEAR(INDIRECT("HG"&amp;HL275))+0,"DD/MM/YYYY"))+0,"")</f>
        <v>46183</v>
      </c>
      <c r="HG275" s="1" t="str">
        <f ca="1"/>
        <v>Alquiler Distribuidora</v>
      </c>
      <c r="HH275" s="1">
        <f ca="1"/>
        <v>10</v>
      </c>
      <c r="HI275" s="4">
        <f ca="1"/>
        <v>600000</v>
      </c>
      <c r="HJ275" s="1" t="str">
        <f ca="1"/>
        <v/>
      </c>
      <c r="HK275" s="1" t="str">
        <f ca="1"/>
        <v/>
      </c>
      <c r="HL275" s="1">
        <f t="shared" ca="1" si="86"/>
        <v>265</v>
      </c>
    </row>
    <row r="276" spans="214:220" x14ac:dyDescent="0.2">
      <c r="HF276" s="23" cm="1">
        <f t="array" aca="1" ref="HF276" ca="1">IFERROR(IF(HI276="","",TEXT(DAY(HH276)&amp;"/"&amp;MONTH(INDIRECT("HG"&amp;HL276))&amp;"/"&amp;YEAR(INDIRECT("HG"&amp;HL276))+0,"DD/MM/YYYY"))+0,"")</f>
        <v>46183</v>
      </c>
      <c r="HG276" s="1" t="str">
        <f ca="1"/>
        <v>Alquiler Casa</v>
      </c>
      <c r="HH276" s="1">
        <f ca="1"/>
        <v>10</v>
      </c>
      <c r="HI276" s="4">
        <f ca="1"/>
        <v>350000</v>
      </c>
      <c r="HJ276" s="1" t="str">
        <f ca="1"/>
        <v/>
      </c>
      <c r="HK276" s="1" t="str">
        <f ca="1"/>
        <v/>
      </c>
      <c r="HL276" s="1">
        <f t="shared" ca="1" si="86"/>
        <v>265</v>
      </c>
    </row>
    <row r="277" spans="214:220" x14ac:dyDescent="0.2">
      <c r="HF277" s="23" cm="1">
        <f t="array" aca="1" ref="HF277" ca="1">IFERROR(IF(HI277="","",TEXT(DAY(HH277)&amp;"/"&amp;MONTH(INDIRECT("HG"&amp;HL277))&amp;"/"&amp;YEAR(INDIRECT("HG"&amp;HL277))+0,"DD/MM/YYYY"))+0,"")</f>
        <v>46183</v>
      </c>
      <c r="HG277" s="1" t="str">
        <f ca="1"/>
        <v>Mel diseño grafico</v>
      </c>
      <c r="HH277" s="1">
        <f ca="1"/>
        <v>10</v>
      </c>
      <c r="HI277" s="4">
        <f ca="1"/>
        <v>430000</v>
      </c>
      <c r="HJ277" s="1" t="str">
        <f ca="1"/>
        <v/>
      </c>
      <c r="HK277" s="1" t="str">
        <f ca="1"/>
        <v/>
      </c>
      <c r="HL277" s="1">
        <f t="shared" ca="1" si="86"/>
        <v>265</v>
      </c>
    </row>
    <row r="278" spans="214:220" x14ac:dyDescent="0.2">
      <c r="HF278" s="23" cm="1">
        <f t="array" aca="1" ref="HF278" ca="1">IFERROR(IF(HI278="","",TEXT(DAY(HH278)&amp;"/"&amp;MONTH(INDIRECT("HG"&amp;HL278))&amp;"/"&amp;YEAR(INDIRECT("HG"&amp;HL278))+0,"DD/MM/YYYY"))+0,"")</f>
        <v>46183</v>
      </c>
      <c r="HG278" s="1" t="str">
        <f ca="1"/>
        <v>Contador</v>
      </c>
      <c r="HH278" s="1">
        <f ca="1"/>
        <v>10</v>
      </c>
      <c r="HI278" s="4">
        <f ca="1"/>
        <v>165000</v>
      </c>
      <c r="HJ278" s="1" t="str">
        <f ca="1"/>
        <v/>
      </c>
      <c r="HK278" s="1" t="str">
        <f ca="1"/>
        <v/>
      </c>
      <c r="HL278" s="1">
        <f t="shared" ca="1" si="86"/>
        <v>265</v>
      </c>
    </row>
    <row r="279" spans="214:220" x14ac:dyDescent="0.2">
      <c r="HF279" s="23" cm="1">
        <f t="array" aca="1" ref="HF279" ca="1">IFERROR(IF(HI279="","",TEXT(DAY(HH279)&amp;"/"&amp;MONTH(INDIRECT("HG"&amp;HL279))&amp;"/"&amp;YEAR(INDIRECT("HG"&amp;HL279))+0,"DD/MM/YYYY"))+0,"")</f>
        <v>46183</v>
      </c>
      <c r="HG279" s="1" t="str">
        <f ca="1"/>
        <v>Cargas Sociales</v>
      </c>
      <c r="HH279" s="1">
        <f ca="1"/>
        <v>10</v>
      </c>
      <c r="HI279" s="4">
        <f ca="1"/>
        <v>831762</v>
      </c>
      <c r="HJ279" s="1" t="str">
        <f ca="1"/>
        <v/>
      </c>
      <c r="HK279" s="1" t="str">
        <f ca="1"/>
        <v/>
      </c>
      <c r="HL279" s="1">
        <f t="shared" ca="1" si="86"/>
        <v>265</v>
      </c>
    </row>
    <row r="280" spans="214:220" x14ac:dyDescent="0.2">
      <c r="HF280" s="23" cm="1">
        <f t="array" aca="1" ref="HF280" ca="1">IFERROR(IF(HI280="","",TEXT(DAY(HH280)&amp;"/"&amp;MONTH(INDIRECT("HG"&amp;HL280))&amp;"/"&amp;YEAR(INDIRECT("HG"&amp;HL280))+0,"DD/MM/YYYY"))+0,"")</f>
        <v>46187</v>
      </c>
      <c r="HG280" s="1" t="str">
        <f ca="1"/>
        <v>Prestamo Galicia - SGR</v>
      </c>
      <c r="HH280" s="1">
        <f ca="1"/>
        <v>14</v>
      </c>
      <c r="HI280" s="4">
        <f ca="1"/>
        <v>1437968.04</v>
      </c>
      <c r="HJ280" s="1" t="str">
        <f ca="1"/>
        <v/>
      </c>
      <c r="HK280" s="1" t="str">
        <f ca="1"/>
        <v/>
      </c>
      <c r="HL280" s="1">
        <f t="shared" ca="1" si="86"/>
        <v>265</v>
      </c>
    </row>
    <row r="281" spans="214:220" x14ac:dyDescent="0.2">
      <c r="HF281" s="23" cm="1">
        <f t="array" aca="1" ref="HF281" ca="1">IFERROR(IF(HI281="","",TEXT(DAY(HH281)&amp;"/"&amp;MONTH(INDIRECT("HG"&amp;HL281))&amp;"/"&amp;YEAR(INDIRECT("HG"&amp;HL281))+0,"DD/MM/YYYY"))+0,"")</f>
        <v>46189</v>
      </c>
      <c r="HG281" s="1" t="str">
        <f ca="1"/>
        <v>Cuota Facilidades IVA</v>
      </c>
      <c r="HH281" s="1">
        <f ca="1"/>
        <v>16</v>
      </c>
      <c r="HI281" s="4">
        <f ca="1"/>
        <v>446304</v>
      </c>
      <c r="HJ281" s="1" t="str">
        <f ca="1"/>
        <v/>
      </c>
      <c r="HK281" s="1" t="str">
        <f ca="1"/>
        <v/>
      </c>
      <c r="HL281" s="1">
        <f t="shared" ca="1" si="86"/>
        <v>265</v>
      </c>
    </row>
    <row r="282" spans="214:220" x14ac:dyDescent="0.2">
      <c r="HF282" s="23" cm="1">
        <f t="array" aca="1" ref="HF282" ca="1">IFERROR(IF(HI282="","",TEXT(DAY(HH282)&amp;"/"&amp;MONTH(INDIRECT("HG"&amp;HL282))&amp;"/"&amp;YEAR(INDIRECT("HG"&amp;HL282))+0,"DD/MM/YYYY"))+0,"")</f>
        <v>46189</v>
      </c>
      <c r="HG282" s="1" t="str">
        <f ca="1"/>
        <v>Cuota Facilidades IVA</v>
      </c>
      <c r="HH282" s="1">
        <f ca="1"/>
        <v>16</v>
      </c>
      <c r="HI282" s="4">
        <f ca="1"/>
        <v>410336</v>
      </c>
      <c r="HJ282" s="1" t="str">
        <f ca="1"/>
        <v/>
      </c>
      <c r="HK282" s="1" t="str">
        <f ca="1"/>
        <v/>
      </c>
      <c r="HL282" s="1">
        <f t="shared" ca="1" si="86"/>
        <v>265</v>
      </c>
    </row>
    <row r="283" spans="214:220" x14ac:dyDescent="0.2">
      <c r="HF283" s="23" cm="1">
        <f t="array" aca="1" ref="HF283" ca="1">IFERROR(IF(HI283="","",TEXT(DAY(HH283)&amp;"/"&amp;MONTH(INDIRECT("HG"&amp;HL283))&amp;"/"&amp;YEAR(INDIRECT("HG"&amp;HL283))+0,"DD/MM/YYYY"))+0,"")</f>
        <v>46189</v>
      </c>
      <c r="HG283" s="1" t="str">
        <f ca="1"/>
        <v>Personal Flow</v>
      </c>
      <c r="HH283" s="1">
        <f ca="1"/>
        <v>16</v>
      </c>
      <c r="HI283" s="4">
        <f ca="1"/>
        <v>89083</v>
      </c>
      <c r="HJ283" s="1" t="str">
        <f ca="1"/>
        <v/>
      </c>
      <c r="HK283" s="1" t="str">
        <f ca="1"/>
        <v/>
      </c>
      <c r="HL283" s="1">
        <f t="shared" ca="1" si="86"/>
        <v>265</v>
      </c>
    </row>
    <row r="284" spans="214:220" x14ac:dyDescent="0.2">
      <c r="HF284" s="23" cm="1">
        <f t="array" aca="1" ref="HF284" ca="1">IFERROR(IF(HI284="","",TEXT(DAY(HH284)&amp;"/"&amp;MONTH(INDIRECT("HG"&amp;HL284))&amp;"/"&amp;YEAR(INDIRECT("HG"&amp;HL284))+0,"DD/MM/YYYY"))+0,"")</f>
        <v>46189</v>
      </c>
      <c r="HG284" s="1" t="str">
        <f ca="1"/>
        <v>Tarjeta Galicia - BUSINESS</v>
      </c>
      <c r="HH284" s="1">
        <f ca="1"/>
        <v>16</v>
      </c>
      <c r="HI284" s="4">
        <f ca="1"/>
        <v>848160</v>
      </c>
      <c r="HJ284" s="1" t="str">
        <f ca="1"/>
        <v/>
      </c>
      <c r="HK284" s="1" t="str">
        <f ca="1"/>
        <v/>
      </c>
      <c r="HL284" s="1">
        <f t="shared" ca="1" si="86"/>
        <v>265</v>
      </c>
    </row>
    <row r="285" spans="214:220" x14ac:dyDescent="0.2">
      <c r="HF285" s="23" cm="1">
        <f t="array" aca="1" ref="HF285" ca="1">IFERROR(IF(HI285="","",TEXT(DAY(HH285)&amp;"/"&amp;MONTH(INDIRECT("HG"&amp;HL285))&amp;"/"&amp;YEAR(INDIRECT("HG"&amp;HL285))+0,"DD/MM/YYYY"))+0,"")</f>
        <v>46192</v>
      </c>
      <c r="HG285" s="1" t="str">
        <f ca="1"/>
        <v>Prestamo Galicia +</v>
      </c>
      <c r="HH285" s="1">
        <f ca="1"/>
        <v>19</v>
      </c>
      <c r="HI285" s="4">
        <f ca="1"/>
        <v>1311628.8700000001</v>
      </c>
      <c r="HJ285" s="1" t="str">
        <f ca="1"/>
        <v/>
      </c>
      <c r="HK285" s="1" t="str">
        <f ca="1"/>
        <v/>
      </c>
      <c r="HL285" s="1">
        <f t="shared" ca="1" si="86"/>
        <v>265</v>
      </c>
    </row>
    <row r="286" spans="214:220" x14ac:dyDescent="0.2">
      <c r="HF286" s="23" cm="1">
        <f t="array" aca="1" ref="HF286" ca="1">IFERROR(IF(HI286="","",TEXT(DAY(HH286)&amp;"/"&amp;MONTH(INDIRECT("HG"&amp;HL286))&amp;"/"&amp;YEAR(INDIRECT("HG"&amp;HL286))+0,"DD/MM/YYYY"))+0,"")</f>
        <v>46193</v>
      </c>
      <c r="HG286" s="1" t="str">
        <f ca="1"/>
        <v>BS Gestion</v>
      </c>
      <c r="HH286" s="1">
        <f ca="1"/>
        <v>20</v>
      </c>
      <c r="HI286" s="4">
        <f ca="1"/>
        <v>382511.25</v>
      </c>
      <c r="HJ286" s="1" t="str">
        <f ca="1"/>
        <v/>
      </c>
      <c r="HK286" s="1" t="str">
        <f ca="1"/>
        <v/>
      </c>
      <c r="HL286" s="1">
        <f t="shared" ca="1" si="86"/>
        <v>265</v>
      </c>
    </row>
    <row r="287" spans="214:220" x14ac:dyDescent="0.2">
      <c r="HF287" s="23" cm="1">
        <f t="array" aca="1" ref="HF287" ca="1">IFERROR(IF(HI287="","",TEXT(DAY(HH287)&amp;"/"&amp;MONTH(INDIRECT("HG"&amp;HL287))&amp;"/"&amp;YEAR(INDIRECT("HG"&amp;HL287))+0,"DD/MM/YYYY"))+0,"")</f>
        <v>46195</v>
      </c>
      <c r="HG287" s="1" t="str">
        <f ca="1"/>
        <v>Seguros Rivadavía</v>
      </c>
      <c r="HH287" s="1">
        <f ca="1"/>
        <v>22</v>
      </c>
      <c r="HI287" s="4">
        <f ca="1"/>
        <v>93593</v>
      </c>
      <c r="HJ287" s="1" t="str">
        <f ca="1"/>
        <v/>
      </c>
      <c r="HK287" s="1" t="str">
        <f ca="1"/>
        <v/>
      </c>
      <c r="HL287" s="1">
        <f t="shared" ca="1" si="86"/>
        <v>265</v>
      </c>
    </row>
    <row r="288" spans="214:220" x14ac:dyDescent="0.2">
      <c r="HF288" s="23" cm="1">
        <f t="array" aca="1" ref="HF288" ca="1">IFERROR(IF(HI288="","",TEXT(DAY(HH288)&amp;"/"&amp;MONTH(INDIRECT("HG"&amp;HL288))&amp;"/"&amp;YEAR(INDIRECT("HG"&amp;HL288))+0,"DD/MM/YYYY"))+0,"")</f>
        <v>46197</v>
      </c>
      <c r="HG288" s="1" t="str">
        <f ca="1"/>
        <v>Prestamo Santander Rio</v>
      </c>
      <c r="HH288" s="1">
        <f ca="1"/>
        <v>24</v>
      </c>
      <c r="HI288" s="4">
        <f ca="1"/>
        <v>872520</v>
      </c>
      <c r="HJ288" s="1" t="str">
        <f ca="1"/>
        <v/>
      </c>
      <c r="HK288" s="1" t="str">
        <f ca="1"/>
        <v/>
      </c>
      <c r="HL288" s="1">
        <f t="shared" ca="1" si="86"/>
        <v>265</v>
      </c>
    </row>
    <row r="289" spans="214:220" x14ac:dyDescent="0.2">
      <c r="HF289" s="23" cm="1">
        <f t="array" aca="1" ref="HF289" ca="1">IFERROR(IF(HI289="","",TEXT(DAY(HH289)&amp;"/"&amp;MONTH(INDIRECT("HG"&amp;HL289))&amp;"/"&amp;YEAR(INDIRECT("HG"&amp;HL289))+0,"DD/MM/YYYY"))+0,"")</f>
        <v>46200</v>
      </c>
      <c r="HG289" s="1" t="str">
        <f ca="1"/>
        <v>Prestamo Galicia +</v>
      </c>
      <c r="HH289" s="1">
        <f ca="1"/>
        <v>27</v>
      </c>
      <c r="HI289" s="4">
        <f ca="1"/>
        <v>299449</v>
      </c>
      <c r="HJ289" s="1" t="str">
        <f ca="1"/>
        <v/>
      </c>
      <c r="HK289" s="1" t="str">
        <f ca="1"/>
        <v/>
      </c>
      <c r="HL289" s="1">
        <f t="shared" ca="1" si="86"/>
        <v>265</v>
      </c>
    </row>
    <row r="290" spans="214:220" x14ac:dyDescent="0.2">
      <c r="HF290" s="23" t="str" cm="1">
        <f t="array" aca="1" ref="HF290" ca="1">IFERROR(IF(HI290="","",TEXT(DAY(HH290)&amp;"/"&amp;MONTH(INDIRECT("HG"&amp;HL290))&amp;"/"&amp;YEAR(INDIRECT("HG"&amp;HL290))+0,"DD/MM/YYYY"))+0,"")</f>
        <v/>
      </c>
      <c r="HL290" s="1">
        <f t="shared" ca="1" si="86"/>
        <v>265</v>
      </c>
    </row>
    <row r="291" spans="214:220" x14ac:dyDescent="0.2">
      <c r="HF291" s="23" t="str" cm="1">
        <f t="array" aca="1" ref="HF291" ca="1">IFERROR(IF(HI291="","",TEXT(DAY(HH291)&amp;"/"&amp;MONTH(INDIRECT("HG"&amp;HL291))&amp;"/"&amp;YEAR(INDIRECT("HG"&amp;HL291))+0,"DD/MM/YYYY"))+0,"")</f>
        <v/>
      </c>
      <c r="HL291" s="1">
        <f t="shared" ca="1" si="86"/>
        <v>265</v>
      </c>
    </row>
    <row r="292" spans="214:220" x14ac:dyDescent="0.2">
      <c r="HF292" s="23" t="str" cm="1">
        <f t="array" aca="1" ref="HF292" ca="1">IFERROR(IF(HI292="","",TEXT(DAY(HH292)&amp;"/"&amp;MONTH(INDIRECT("HG"&amp;HL292))&amp;"/"&amp;YEAR(INDIRECT("HG"&amp;HL292))+0,"DD/MM/YYYY"))+0,"")</f>
        <v/>
      </c>
      <c r="HL292" s="1">
        <f t="shared" ca="1" si="86"/>
        <v>265</v>
      </c>
    </row>
    <row r="293" spans="214:220" x14ac:dyDescent="0.2">
      <c r="HF293" s="23" t="str" cm="1">
        <f t="array" aca="1" ref="HF293" ca="1">IFERROR(IF(HI293="","",TEXT(DAY(HH293)&amp;"/"&amp;MONTH(INDIRECT("HG"&amp;HL293))&amp;"/"&amp;YEAR(INDIRECT("HG"&amp;HL293))+0,"DD/MM/YYYY"))+0,"")</f>
        <v/>
      </c>
      <c r="HL293" s="1">
        <f t="shared" ca="1" si="86"/>
        <v>265</v>
      </c>
    </row>
    <row r="294" spans="214:220" x14ac:dyDescent="0.2">
      <c r="HF294" s="23" t="str" cm="1">
        <f t="array" aca="1" ref="HF294" ca="1">IFERROR(IF(HI294="","",TEXT(DAY(HH294)&amp;"/"&amp;MONTH(INDIRECT("HG"&amp;HL294))&amp;"/"&amp;YEAR(INDIRECT("HG"&amp;HL294))+0,"DD/MM/YYYY"))+0,"")</f>
        <v/>
      </c>
      <c r="HL294" s="1">
        <f t="shared" ca="1" si="86"/>
        <v>265</v>
      </c>
    </row>
    <row r="295" spans="214:220" x14ac:dyDescent="0.2">
      <c r="HF295" s="23" t="str" cm="1">
        <f t="array" aca="1" ref="HF295" ca="1">IFERROR(IF(HI295="","",TEXT(DAY(HH295)&amp;"/"&amp;MONTH(INDIRECT("HG"&amp;HL295))&amp;"/"&amp;YEAR(INDIRECT("HG"&amp;HL295))+0,"DD/MM/YYYY"))+0,"")</f>
        <v/>
      </c>
      <c r="HL295" s="1">
        <f t="shared" ca="1" si="86"/>
        <v>265</v>
      </c>
    </row>
    <row r="296" spans="214:220" x14ac:dyDescent="0.2">
      <c r="HF296" s="23" t="str" cm="1">
        <f t="array" aca="1" ref="HF296" ca="1">IFERROR(IF(HI296="","",TEXT(DAY(HH296)&amp;"/"&amp;MONTH(INDIRECT("HG"&amp;HL296))&amp;"/"&amp;YEAR(INDIRECT("HG"&amp;HL296))+0,"DD/MM/YYYY"))+0,"")</f>
        <v/>
      </c>
      <c r="HL296" s="1">
        <f t="shared" ca="1" si="86"/>
        <v>265</v>
      </c>
    </row>
    <row r="297" spans="214:220" x14ac:dyDescent="0.2">
      <c r="HF297" s="23" t="str" cm="1">
        <f t="array" aca="1" ref="HF297" ca="1">IFERROR(IF(HI297="","",TEXT(DAY(HH297)&amp;"/"&amp;MONTH(INDIRECT("HG"&amp;HL297))&amp;"/"&amp;YEAR(INDIRECT("HG"&amp;HL297))+0,"DD/MM/YYYY"))+0,"")</f>
        <v/>
      </c>
      <c r="HL297" s="1">
        <f t="shared" ca="1" si="86"/>
        <v>265</v>
      </c>
    </row>
    <row r="298" spans="214:220" x14ac:dyDescent="0.2">
      <c r="HF298" s="23" t="str" cm="1">
        <f t="array" aca="1" ref="HF298" ca="1">IFERROR(IF(HI298="","",TEXT(DAY(HH298)&amp;"/"&amp;MONTH(INDIRECT("HG"&amp;HL298))&amp;"/"&amp;YEAR(INDIRECT("HG"&amp;HL298))+0,"DD/MM/YYYY"))+0,"")</f>
        <v/>
      </c>
      <c r="HL298" s="1">
        <f t="shared" ca="1" si="86"/>
        <v>265</v>
      </c>
    </row>
    <row r="299" spans="214:220" x14ac:dyDescent="0.2">
      <c r="HF299" s="23" t="str" cm="1">
        <f t="array" aca="1" ref="HF299" ca="1">IFERROR(IF(HI299="","",TEXT(DAY(HH299)&amp;"/"&amp;MONTH(INDIRECT("HG"&amp;HL299))&amp;"/"&amp;YEAR(INDIRECT("HG"&amp;HL299))+0,"DD/MM/YYYY"))+0,"")</f>
        <v/>
      </c>
      <c r="HL299" s="1">
        <f t="shared" ca="1" si="86"/>
        <v>265</v>
      </c>
    </row>
    <row r="300" spans="214:220" x14ac:dyDescent="0.2">
      <c r="HF300" s="23" t="str" cm="1">
        <f t="array" aca="1" ref="HF300" ca="1">IFERROR(IF(HI300="","",TEXT(DAY(HH300)&amp;"/"&amp;MONTH(INDIRECT("HG"&amp;HL300))&amp;"/"&amp;YEAR(INDIRECT("HG"&amp;HL300))+0,"DD/MM/YYYY"))+0,"")</f>
        <v/>
      </c>
      <c r="HL300" s="1">
        <f t="shared" ca="1" si="86"/>
        <v>265</v>
      </c>
    </row>
    <row r="301" spans="214:220" x14ac:dyDescent="0.2">
      <c r="HF301" s="23" t="str" cm="1">
        <f t="array" aca="1" ref="HF301" ca="1">IFERROR(IF(HI301="","",TEXT(DAY(HH301)&amp;"/"&amp;MONTH(INDIRECT("HG"&amp;HL301))&amp;"/"&amp;YEAR(INDIRECT("HG"&amp;HL301))+0,"DD/MM/YYYY"))+0,"")</f>
        <v/>
      </c>
      <c r="HL301" s="1">
        <f t="shared" ca="1" si="86"/>
        <v>265</v>
      </c>
    </row>
    <row r="302" spans="214:220" x14ac:dyDescent="0.2">
      <c r="HF302" s="23" t="str" cm="1">
        <f t="array" aca="1" ref="HF302" ca="1">IFERROR(IF(HI302="","",TEXT(DAY(HH302)&amp;"/"&amp;MONTH(INDIRECT("HG"&amp;HL302))&amp;"/"&amp;YEAR(INDIRECT("HG"&amp;HL302))+0,"DD/MM/YYYY"))+0,"")</f>
        <v/>
      </c>
      <c r="HL302" s="1">
        <f t="shared" ca="1" si="86"/>
        <v>265</v>
      </c>
    </row>
    <row r="303" spans="214:220" x14ac:dyDescent="0.2">
      <c r="HF303" s="23" t="str" cm="1">
        <f t="array" aca="1" ref="HF303" ca="1">IFERROR(IF(HI303="","",TEXT(DAY(HH303)&amp;"/"&amp;MONTH(INDIRECT("HG"&amp;HL303))&amp;"/"&amp;YEAR(INDIRECT("HG"&amp;HL303))+0,"DD/MM/YYYY"))+0,"")</f>
        <v/>
      </c>
      <c r="HG303" s="44">
        <f>+EDATE(HG265,1)</f>
        <v>46204</v>
      </c>
      <c r="HL303" s="1">
        <f t="shared" si="86"/>
        <v>303</v>
      </c>
    </row>
    <row r="304" spans="214:220" x14ac:dyDescent="0.2">
      <c r="HF304" s="23" cm="1">
        <f t="array" aca="1" ref="HF304" ca="1">IFERROR(IF(HI304="","",TEXT(DAY(HH304)&amp;"/"&amp;MONTH(INDIRECT("HG"&amp;HL304))&amp;"/"&amp;YEAR(INDIRECT("HG"&amp;HL304))+0,"DD/MM/YYYY"))+0,"")</f>
        <v>46204</v>
      </c>
      <c r="HG304" s="1" t="str" cm="1">
        <f t="array" aca="1" ref="HG304:HK324" ca="1">IFERROR(
 _xlfn.LET(
  _xlpm.tabla,$I$3:$BB$43,
  _xlpm.cab,$O$2:$BB$2,
  _xlpm.base,COLUMN($O$2)-COLUMN($I$2)+1,
  _xlpm.k,MATCH(HG303,_xlpm.cab,0),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Monotributo IVAN</v>
      </c>
      <c r="HH304" s="1">
        <f ca="1"/>
        <v>1</v>
      </c>
      <c r="HI304" s="4">
        <f ca="1"/>
        <v>52280</v>
      </c>
      <c r="HJ304" s="1" t="str">
        <f ca="1"/>
        <v/>
      </c>
      <c r="HK304" s="1" t="str">
        <f ca="1"/>
        <v/>
      </c>
      <c r="HL304" s="1">
        <f t="shared" ca="1" si="86"/>
        <v>303</v>
      </c>
    </row>
    <row r="305" spans="214:220" x14ac:dyDescent="0.2">
      <c r="HF305" s="23" cm="1">
        <f t="array" aca="1" ref="HF305" ca="1">IFERROR(IF(HI305="","",TEXT(DAY(HH305)&amp;"/"&amp;MONTH(INDIRECT("HG"&amp;HL305))&amp;"/"&amp;YEAR(INDIRECT("HG"&amp;HL305))+0,"DD/MM/YYYY"))+0,"")</f>
        <v>46204</v>
      </c>
      <c r="HG305" s="1" t="str">
        <f ca="1"/>
        <v>Monotributo Mayeski</v>
      </c>
      <c r="HH305" s="1">
        <f ca="1"/>
        <v>1</v>
      </c>
      <c r="HI305" s="4">
        <f ca="1"/>
        <v>52280</v>
      </c>
      <c r="HJ305" s="1" t="str">
        <f ca="1"/>
        <v/>
      </c>
      <c r="HK305" s="1" t="str">
        <f ca="1"/>
        <v/>
      </c>
      <c r="HL305" s="1">
        <f t="shared" ca="1" si="86"/>
        <v>303</v>
      </c>
    </row>
    <row r="306" spans="214:220" x14ac:dyDescent="0.2">
      <c r="HF306" s="23" cm="1">
        <f t="array" aca="1" ref="HF306" ca="1">IFERROR(IF(HI306="","",TEXT(DAY(HH306)&amp;"/"&amp;MONTH(INDIRECT("HG"&amp;HL306))&amp;"/"&amp;YEAR(INDIRECT("HG"&amp;HL306))+0,"DD/MM/YYYY"))+0,"")</f>
        <v>46204</v>
      </c>
      <c r="HG306" s="1" t="str">
        <f ca="1"/>
        <v>Monotributo David</v>
      </c>
      <c r="HH306" s="1">
        <f ca="1"/>
        <v>1</v>
      </c>
      <c r="HI306" s="4">
        <f ca="1"/>
        <v>42246</v>
      </c>
      <c r="HJ306" s="1" t="str">
        <f ca="1"/>
        <v/>
      </c>
      <c r="HK306" s="1" t="str">
        <f ca="1"/>
        <v/>
      </c>
      <c r="HL306" s="1">
        <f t="shared" ca="1" si="86"/>
        <v>303</v>
      </c>
    </row>
    <row r="307" spans="214:220" x14ac:dyDescent="0.2">
      <c r="HF307" s="23" cm="1">
        <f t="array" aca="1" ref="HF307" ca="1">IFERROR(IF(HI307="","",TEXT(DAY(HH307)&amp;"/"&amp;MONTH(INDIRECT("HG"&amp;HL307))&amp;"/"&amp;YEAR(INDIRECT("HG"&amp;HL307))+0,"DD/MM/YYYY"))+0,"")</f>
        <v>46204</v>
      </c>
      <c r="HG307" s="1" t="str">
        <f ca="1"/>
        <v>Movistar</v>
      </c>
      <c r="HH307" s="1">
        <f ca="1"/>
        <v>1</v>
      </c>
      <c r="HI307" s="4">
        <f ca="1"/>
        <v>10350</v>
      </c>
      <c r="HJ307" s="1" t="str">
        <f ca="1"/>
        <v/>
      </c>
      <c r="HK307" s="1" t="str">
        <f ca="1"/>
        <v/>
      </c>
      <c r="HL307" s="1">
        <f t="shared" ca="1" si="86"/>
        <v>303</v>
      </c>
    </row>
    <row r="308" spans="214:220" x14ac:dyDescent="0.2">
      <c r="HF308" s="23" cm="1">
        <f t="array" aca="1" ref="HF308" ca="1">IFERROR(IF(HI308="","",TEXT(DAY(HH308)&amp;"/"&amp;MONTH(INDIRECT("HG"&amp;HL308))&amp;"/"&amp;YEAR(INDIRECT("HG"&amp;HL308))+0,"DD/MM/YYYY"))+0,"")</f>
        <v>46204</v>
      </c>
      <c r="HG308" s="1" t="str">
        <f ca="1"/>
        <v>Victoria Seguros</v>
      </c>
      <c r="HH308" s="1">
        <f ca="1"/>
        <v>1</v>
      </c>
      <c r="HI308" s="4">
        <f ca="1"/>
        <v>123878</v>
      </c>
      <c r="HJ308" s="1" t="str">
        <f ca="1"/>
        <v/>
      </c>
      <c r="HK308" s="1" t="str">
        <f ca="1"/>
        <v/>
      </c>
      <c r="HL308" s="1">
        <f t="shared" ca="1" si="86"/>
        <v>303</v>
      </c>
    </row>
    <row r="309" spans="214:220" x14ac:dyDescent="0.2">
      <c r="HF309" s="23" cm="1">
        <f t="array" aca="1" ref="HF309" ca="1">IFERROR(IF(HI309="","",TEXT(DAY(HH309)&amp;"/"&amp;MONTH(INDIRECT("HG"&amp;HL309))&amp;"/"&amp;YEAR(INDIRECT("HG"&amp;HL309))+0,"DD/MM/YYYY"))+0,"")</f>
        <v>46205</v>
      </c>
      <c r="HG309" s="1" t="str">
        <f ca="1"/>
        <v>Aseg. Motovehicular</v>
      </c>
      <c r="HH309" s="1">
        <f ca="1"/>
        <v>2</v>
      </c>
      <c r="HI309" s="4">
        <f ca="1"/>
        <v>141512.71</v>
      </c>
      <c r="HJ309" s="1" t="str">
        <f ca="1"/>
        <v/>
      </c>
      <c r="HK309" s="1" t="str">
        <f ca="1"/>
        <v/>
      </c>
      <c r="HL309" s="1">
        <f t="shared" ca="1" si="86"/>
        <v>303</v>
      </c>
    </row>
    <row r="310" spans="214:220" x14ac:dyDescent="0.2">
      <c r="HF310" s="23" cm="1">
        <f t="array" aca="1" ref="HF310" ca="1">IFERROR(IF(HI310="","",TEXT(DAY(HH310)&amp;"/"&amp;MONTH(INDIRECT("HG"&amp;HL310))&amp;"/"&amp;YEAR(INDIRECT("HG"&amp;HL310))+0,"DD/MM/YYYY"))+0,"")</f>
        <v>46205</v>
      </c>
      <c r="HG310" s="1" t="str">
        <f ca="1"/>
        <v>Personal Flow</v>
      </c>
      <c r="HH310" s="1">
        <f ca="1"/>
        <v>2</v>
      </c>
      <c r="HI310" s="4">
        <f ca="1"/>
        <v>71670</v>
      </c>
      <c r="HJ310" s="1" t="str">
        <f ca="1"/>
        <v/>
      </c>
      <c r="HK310" s="1" t="str">
        <f ca="1"/>
        <v/>
      </c>
      <c r="HL310" s="1">
        <f t="shared" ca="1" si="86"/>
        <v>303</v>
      </c>
    </row>
    <row r="311" spans="214:220" x14ac:dyDescent="0.2">
      <c r="HF311" s="23" cm="1">
        <f t="array" aca="1" ref="HF311" ca="1">IFERROR(IF(HI311="","",TEXT(DAY(HH311)&amp;"/"&amp;MONTH(INDIRECT("HG"&amp;HL311))&amp;"/"&amp;YEAR(INDIRECT("HG"&amp;HL311))+0,"DD/MM/YYYY"))+0,"")</f>
        <v>46209</v>
      </c>
      <c r="HG311" s="1" t="str">
        <f ca="1"/>
        <v>Autonomo</v>
      </c>
      <c r="HH311" s="1">
        <f ca="1"/>
        <v>6</v>
      </c>
      <c r="HI311" s="4">
        <f ca="1"/>
        <v>95639.62</v>
      </c>
      <c r="HJ311" s="1" t="str">
        <f ca="1"/>
        <v/>
      </c>
      <c r="HK311" s="1" t="str">
        <f ca="1"/>
        <v/>
      </c>
      <c r="HL311" s="1">
        <f t="shared" ca="1" si="86"/>
        <v>303</v>
      </c>
    </row>
    <row r="312" spans="214:220" x14ac:dyDescent="0.2">
      <c r="HF312" s="23" cm="1">
        <f t="array" aca="1" ref="HF312" ca="1">IFERROR(IF(HI312="","",TEXT(DAY(HH312)&amp;"/"&amp;MONTH(INDIRECT("HG"&amp;HL312))&amp;"/"&amp;YEAR(INDIRECT("HG"&amp;HL312))+0,"DD/MM/YYYY"))+0,"")</f>
        <v>46213</v>
      </c>
      <c r="HG312" s="1" t="str">
        <f ca="1"/>
        <v>Alquiler Distribuidora</v>
      </c>
      <c r="HH312" s="1">
        <f ca="1"/>
        <v>10</v>
      </c>
      <c r="HI312" s="4">
        <f ca="1"/>
        <v>600000</v>
      </c>
      <c r="HJ312" s="1" t="str">
        <f ca="1"/>
        <v/>
      </c>
      <c r="HK312" s="1" t="str">
        <f ca="1"/>
        <v/>
      </c>
      <c r="HL312" s="1">
        <f t="shared" ca="1" si="86"/>
        <v>303</v>
      </c>
    </row>
    <row r="313" spans="214:220" x14ac:dyDescent="0.2">
      <c r="HF313" s="23" cm="1">
        <f t="array" aca="1" ref="HF313" ca="1">IFERROR(IF(HI313="","",TEXT(DAY(HH313)&amp;"/"&amp;MONTH(INDIRECT("HG"&amp;HL313))&amp;"/"&amp;YEAR(INDIRECT("HG"&amp;HL313))+0,"DD/MM/YYYY"))+0,"")</f>
        <v>46213</v>
      </c>
      <c r="HG313" s="1" t="str">
        <f ca="1"/>
        <v>Alquiler Casa</v>
      </c>
      <c r="HH313" s="1">
        <f ca="1"/>
        <v>10</v>
      </c>
      <c r="HI313" s="4">
        <f ca="1"/>
        <v>350000</v>
      </c>
      <c r="HJ313" s="1" t="str">
        <f ca="1"/>
        <v/>
      </c>
      <c r="HK313" s="1" t="str">
        <f ca="1"/>
        <v/>
      </c>
      <c r="HL313" s="1">
        <f t="shared" ca="1" si="86"/>
        <v>303</v>
      </c>
    </row>
    <row r="314" spans="214:220" x14ac:dyDescent="0.2">
      <c r="HF314" s="23" cm="1">
        <f t="array" aca="1" ref="HF314" ca="1">IFERROR(IF(HI314="","",TEXT(DAY(HH314)&amp;"/"&amp;MONTH(INDIRECT("HG"&amp;HL314))&amp;"/"&amp;YEAR(INDIRECT("HG"&amp;HL314))+0,"DD/MM/YYYY"))+0,"")</f>
        <v>46213</v>
      </c>
      <c r="HG314" s="1" t="str">
        <f ca="1"/>
        <v>Mel diseño grafico</v>
      </c>
      <c r="HH314" s="1">
        <f ca="1"/>
        <v>10</v>
      </c>
      <c r="HI314" s="4">
        <f ca="1"/>
        <v>430000</v>
      </c>
      <c r="HJ314" s="1" t="str">
        <f ca="1"/>
        <v/>
      </c>
      <c r="HK314" s="1" t="str">
        <f ca="1"/>
        <v/>
      </c>
      <c r="HL314" s="1">
        <f t="shared" ca="1" si="86"/>
        <v>303</v>
      </c>
    </row>
    <row r="315" spans="214:220" x14ac:dyDescent="0.2">
      <c r="HF315" s="23" cm="1">
        <f t="array" aca="1" ref="HF315" ca="1">IFERROR(IF(HI315="","",TEXT(DAY(HH315)&amp;"/"&amp;MONTH(INDIRECT("HG"&amp;HL315))&amp;"/"&amp;YEAR(INDIRECT("HG"&amp;HL315))+0,"DD/MM/YYYY"))+0,"")</f>
        <v>46213</v>
      </c>
      <c r="HG315" s="1" t="str">
        <f ca="1"/>
        <v>Contador</v>
      </c>
      <c r="HH315" s="1">
        <f ca="1"/>
        <v>10</v>
      </c>
      <c r="HI315" s="4">
        <f ca="1"/>
        <v>165000</v>
      </c>
      <c r="HJ315" s="1" t="str">
        <f ca="1"/>
        <v/>
      </c>
      <c r="HK315" s="1" t="str">
        <f ca="1"/>
        <v/>
      </c>
      <c r="HL315" s="1">
        <f t="shared" ca="1" si="86"/>
        <v>303</v>
      </c>
    </row>
    <row r="316" spans="214:220" x14ac:dyDescent="0.2">
      <c r="HF316" s="23" cm="1">
        <f t="array" aca="1" ref="HF316" ca="1">IFERROR(IF(HI316="","",TEXT(DAY(HH316)&amp;"/"&amp;MONTH(INDIRECT("HG"&amp;HL316))&amp;"/"&amp;YEAR(INDIRECT("HG"&amp;HL316))+0,"DD/MM/YYYY"))+0,"")</f>
        <v>46213</v>
      </c>
      <c r="HG316" s="1" t="str">
        <f ca="1"/>
        <v>Cargas Sociales</v>
      </c>
      <c r="HH316" s="1">
        <f ca="1"/>
        <v>10</v>
      </c>
      <c r="HI316" s="4">
        <f ca="1"/>
        <v>831762</v>
      </c>
      <c r="HJ316" s="1" t="str">
        <f ca="1"/>
        <v/>
      </c>
      <c r="HK316" s="1" t="str">
        <f ca="1"/>
        <v/>
      </c>
      <c r="HL316" s="1">
        <f t="shared" ca="1" si="86"/>
        <v>303</v>
      </c>
    </row>
    <row r="317" spans="214:220" x14ac:dyDescent="0.2">
      <c r="HF317" s="23" cm="1">
        <f t="array" aca="1" ref="HF317" ca="1">IFERROR(IF(HI317="","",TEXT(DAY(HH317)&amp;"/"&amp;MONTH(INDIRECT("HG"&amp;HL317))&amp;"/"&amp;YEAR(INDIRECT("HG"&amp;HL317))+0,"DD/MM/YYYY"))+0,"")</f>
        <v>46217</v>
      </c>
      <c r="HG317" s="1" t="str">
        <f ca="1"/>
        <v>Prestamo Galicia - SGR</v>
      </c>
      <c r="HH317" s="1">
        <f ca="1"/>
        <v>14</v>
      </c>
      <c r="HI317" s="4">
        <f ca="1"/>
        <v>1668543.38</v>
      </c>
      <c r="HJ317" s="1" t="str">
        <f ca="1"/>
        <v/>
      </c>
      <c r="HK317" s="1" t="str">
        <f ca="1"/>
        <v/>
      </c>
      <c r="HL317" s="1">
        <f t="shared" ca="1" si="86"/>
        <v>303</v>
      </c>
    </row>
    <row r="318" spans="214:220" x14ac:dyDescent="0.2">
      <c r="HF318" s="23" cm="1">
        <f t="array" aca="1" ref="HF318" ca="1">IFERROR(IF(HI318="","",TEXT(DAY(HH318)&amp;"/"&amp;MONTH(INDIRECT("HG"&amp;HL318))&amp;"/"&amp;YEAR(INDIRECT("HG"&amp;HL318))+0,"DD/MM/YYYY"))+0,"")</f>
        <v>46219</v>
      </c>
      <c r="HG318" s="1" t="str">
        <f ca="1"/>
        <v>Personal Flow</v>
      </c>
      <c r="HH318" s="1">
        <f ca="1"/>
        <v>16</v>
      </c>
      <c r="HI318" s="4">
        <f ca="1"/>
        <v>89083</v>
      </c>
      <c r="HJ318" s="1" t="str">
        <f ca="1"/>
        <v/>
      </c>
      <c r="HK318" s="1" t="str">
        <f ca="1"/>
        <v/>
      </c>
      <c r="HL318" s="1">
        <f t="shared" ca="1" si="86"/>
        <v>303</v>
      </c>
    </row>
    <row r="319" spans="214:220" x14ac:dyDescent="0.2">
      <c r="HF319" s="23" cm="1">
        <f t="array" aca="1" ref="HF319" ca="1">IFERROR(IF(HI319="","",TEXT(DAY(HH319)&amp;"/"&amp;MONTH(INDIRECT("HG"&amp;HL319))&amp;"/"&amp;YEAR(INDIRECT("HG"&amp;HL319))+0,"DD/MM/YYYY"))+0,"")</f>
        <v>46219</v>
      </c>
      <c r="HG319" s="1" t="str">
        <f ca="1"/>
        <v>Tarjeta Galicia - BUSINESS</v>
      </c>
      <c r="HH319" s="1">
        <f ca="1"/>
        <v>16</v>
      </c>
      <c r="HI319" s="4">
        <f ca="1"/>
        <v>848160</v>
      </c>
      <c r="HJ319" s="1" t="str">
        <f ca="1"/>
        <v/>
      </c>
      <c r="HK319" s="1" t="str">
        <f ca="1"/>
        <v/>
      </c>
      <c r="HL319" s="1">
        <f t="shared" ca="1" si="86"/>
        <v>303</v>
      </c>
    </row>
    <row r="320" spans="214:220" x14ac:dyDescent="0.2">
      <c r="HF320" s="23" cm="1">
        <f t="array" aca="1" ref="HF320" ca="1">IFERROR(IF(HI320="","",TEXT(DAY(HH320)&amp;"/"&amp;MONTH(INDIRECT("HG"&amp;HL320))&amp;"/"&amp;YEAR(INDIRECT("HG"&amp;HL320))+0,"DD/MM/YYYY"))+0,"")</f>
        <v>46222</v>
      </c>
      <c r="HG320" s="1" t="str">
        <f ca="1"/>
        <v>Prestamo Galicia +</v>
      </c>
      <c r="HH320" s="1">
        <f ca="1"/>
        <v>19</v>
      </c>
      <c r="HI320" s="4">
        <f ca="1"/>
        <v>1311628.8700000001</v>
      </c>
      <c r="HJ320" s="1" t="str">
        <f ca="1"/>
        <v/>
      </c>
      <c r="HK320" s="1" t="str">
        <f ca="1"/>
        <v/>
      </c>
      <c r="HL320" s="1">
        <f t="shared" ca="1" si="86"/>
        <v>303</v>
      </c>
    </row>
    <row r="321" spans="214:220" x14ac:dyDescent="0.2">
      <c r="HF321" s="23" cm="1">
        <f t="array" aca="1" ref="HF321" ca="1">IFERROR(IF(HI321="","",TEXT(DAY(HH321)&amp;"/"&amp;MONTH(INDIRECT("HG"&amp;HL321))&amp;"/"&amp;YEAR(INDIRECT("HG"&amp;HL321))+0,"DD/MM/YYYY"))+0,"")</f>
        <v>46223</v>
      </c>
      <c r="HG321" s="1" t="str">
        <f ca="1"/>
        <v>BS Gestion</v>
      </c>
      <c r="HH321" s="1">
        <f ca="1"/>
        <v>20</v>
      </c>
      <c r="HI321" s="4">
        <f ca="1"/>
        <v>382511.25</v>
      </c>
      <c r="HJ321" s="1" t="str">
        <f ca="1"/>
        <v/>
      </c>
      <c r="HK321" s="1" t="str">
        <f ca="1"/>
        <v/>
      </c>
      <c r="HL321" s="1">
        <f t="shared" ca="1" si="86"/>
        <v>303</v>
      </c>
    </row>
    <row r="322" spans="214:220" x14ac:dyDescent="0.2">
      <c r="HF322" s="23" cm="1">
        <f t="array" aca="1" ref="HF322" ca="1">IFERROR(IF(HI322="","",TEXT(DAY(HH322)&amp;"/"&amp;MONTH(INDIRECT("HG"&amp;HL322))&amp;"/"&amp;YEAR(INDIRECT("HG"&amp;HL322))+0,"DD/MM/YYYY"))+0,"")</f>
        <v>46225</v>
      </c>
      <c r="HG322" s="1" t="str">
        <f ca="1"/>
        <v>Seguros Rivadavía</v>
      </c>
      <c r="HH322" s="1">
        <f ca="1"/>
        <v>22</v>
      </c>
      <c r="HI322" s="4">
        <f ca="1"/>
        <v>93593</v>
      </c>
      <c r="HJ322" s="1" t="str">
        <f ca="1"/>
        <v/>
      </c>
      <c r="HK322" s="1" t="str">
        <f ca="1"/>
        <v/>
      </c>
      <c r="HL322" s="1">
        <f t="shared" ca="1" si="86"/>
        <v>303</v>
      </c>
    </row>
    <row r="323" spans="214:220" x14ac:dyDescent="0.2">
      <c r="HF323" s="23" cm="1">
        <f t="array" aca="1" ref="HF323" ca="1">IFERROR(IF(HI323="","",TEXT(DAY(HH323)&amp;"/"&amp;MONTH(INDIRECT("HG"&amp;HL323))&amp;"/"&amp;YEAR(INDIRECT("HG"&amp;HL323))+0,"DD/MM/YYYY"))+0,"")</f>
        <v>46227</v>
      </c>
      <c r="HG323" s="1" t="str">
        <f ca="1"/>
        <v>Prestamo Santander Rio</v>
      </c>
      <c r="HH323" s="1">
        <f ca="1"/>
        <v>24</v>
      </c>
      <c r="HI323" s="4">
        <f ca="1"/>
        <v>872520</v>
      </c>
      <c r="HJ323" s="1" t="str">
        <f ca="1"/>
        <v/>
      </c>
      <c r="HK323" s="1" t="str">
        <f ca="1"/>
        <v/>
      </c>
      <c r="HL323" s="1">
        <f t="shared" ca="1" si="86"/>
        <v>303</v>
      </c>
    </row>
    <row r="324" spans="214:220" x14ac:dyDescent="0.2">
      <c r="HF324" s="23" cm="1">
        <f t="array" aca="1" ref="HF324" ca="1">IFERROR(IF(HI324="","",TEXT(DAY(HH324)&amp;"/"&amp;MONTH(INDIRECT("HG"&amp;HL324))&amp;"/"&amp;YEAR(INDIRECT("HG"&amp;HL324))+0,"DD/MM/YYYY"))+0,"")</f>
        <v>46230</v>
      </c>
      <c r="HG324" s="1" t="str">
        <f ca="1"/>
        <v>Prestamo Galicia +</v>
      </c>
      <c r="HH324" s="1">
        <f ca="1"/>
        <v>27</v>
      </c>
      <c r="HI324" s="4">
        <f ca="1"/>
        <v>299449</v>
      </c>
      <c r="HJ324" s="1" t="str">
        <f ca="1"/>
        <v/>
      </c>
      <c r="HK324" s="1" t="str">
        <f ca="1"/>
        <v/>
      </c>
      <c r="HL324" s="1">
        <f t="shared" ca="1" si="86"/>
        <v>303</v>
      </c>
    </row>
    <row r="325" spans="214:220" x14ac:dyDescent="0.2">
      <c r="HF325" s="23" t="str" cm="1">
        <f t="array" aca="1" ref="HF325" ca="1">IFERROR(IF(HI325="","",TEXT(DAY(HH325)&amp;"/"&amp;MONTH(INDIRECT("HG"&amp;HL325))&amp;"/"&amp;YEAR(INDIRECT("HG"&amp;HL325))+0,"DD/MM/YYYY"))+0,"")</f>
        <v/>
      </c>
      <c r="HL325" s="1">
        <f t="shared" ref="HL325:HL388" ca="1" si="87">+IF(ISNUMBER(HG325),ROW(),HL324)</f>
        <v>303</v>
      </c>
    </row>
    <row r="326" spans="214:220" x14ac:dyDescent="0.2">
      <c r="HF326" s="23" t="str" cm="1">
        <f t="array" aca="1" ref="HF326" ca="1">IFERROR(IF(HI326="","",TEXT(DAY(HH326)&amp;"/"&amp;MONTH(INDIRECT("HG"&amp;HL326))&amp;"/"&amp;YEAR(INDIRECT("HG"&amp;HL326))+0,"DD/MM/YYYY"))+0,"")</f>
        <v/>
      </c>
      <c r="HL326" s="1">
        <f t="shared" ca="1" si="87"/>
        <v>303</v>
      </c>
    </row>
    <row r="327" spans="214:220" x14ac:dyDescent="0.2">
      <c r="HF327" s="23" t="str" cm="1">
        <f t="array" aca="1" ref="HF327" ca="1">IFERROR(IF(HI327="","",TEXT(DAY(HH327)&amp;"/"&amp;MONTH(INDIRECT("HG"&amp;HL327))&amp;"/"&amp;YEAR(INDIRECT("HG"&amp;HL327))+0,"DD/MM/YYYY"))+0,"")</f>
        <v/>
      </c>
      <c r="HL327" s="1">
        <f t="shared" ca="1" si="87"/>
        <v>303</v>
      </c>
    </row>
    <row r="328" spans="214:220" x14ac:dyDescent="0.2">
      <c r="HF328" s="23" t="str" cm="1">
        <f t="array" aca="1" ref="HF328" ca="1">IFERROR(IF(HI328="","",TEXT(DAY(HH328)&amp;"/"&amp;MONTH(INDIRECT("HG"&amp;HL328))&amp;"/"&amp;YEAR(INDIRECT("HG"&amp;HL328))+0,"DD/MM/YYYY"))+0,"")</f>
        <v/>
      </c>
      <c r="HL328" s="1">
        <f t="shared" ca="1" si="87"/>
        <v>303</v>
      </c>
    </row>
    <row r="329" spans="214:220" x14ac:dyDescent="0.2">
      <c r="HF329" s="23" t="str" cm="1">
        <f t="array" aca="1" ref="HF329" ca="1">IFERROR(IF(HI329="","",TEXT(DAY(HH329)&amp;"/"&amp;MONTH(INDIRECT("HG"&amp;HL329))&amp;"/"&amp;YEAR(INDIRECT("HG"&amp;HL329))+0,"DD/MM/YYYY"))+0,"")</f>
        <v/>
      </c>
      <c r="HL329" s="1">
        <f t="shared" ca="1" si="87"/>
        <v>303</v>
      </c>
    </row>
    <row r="330" spans="214:220" x14ac:dyDescent="0.2">
      <c r="HF330" s="23" t="str" cm="1">
        <f t="array" aca="1" ref="HF330" ca="1">IFERROR(IF(HI330="","",TEXT(DAY(HH330)&amp;"/"&amp;MONTH(INDIRECT("HG"&amp;HL330))&amp;"/"&amp;YEAR(INDIRECT("HG"&amp;HL330))+0,"DD/MM/YYYY"))+0,"")</f>
        <v/>
      </c>
      <c r="HL330" s="1">
        <f t="shared" ca="1" si="87"/>
        <v>303</v>
      </c>
    </row>
    <row r="331" spans="214:220" x14ac:dyDescent="0.2">
      <c r="HF331" s="23" t="str" cm="1">
        <f t="array" aca="1" ref="HF331" ca="1">IFERROR(IF(HI331="","",TEXT(DAY(HH331)&amp;"/"&amp;MONTH(INDIRECT("HG"&amp;HL331))&amp;"/"&amp;YEAR(INDIRECT("HG"&amp;HL331))+0,"DD/MM/YYYY"))+0,"")</f>
        <v/>
      </c>
      <c r="HL331" s="1">
        <f t="shared" ca="1" si="87"/>
        <v>303</v>
      </c>
    </row>
    <row r="332" spans="214:220" x14ac:dyDescent="0.2">
      <c r="HF332" s="23" t="str" cm="1">
        <f t="array" aca="1" ref="HF332" ca="1">IFERROR(IF(HI332="","",TEXT(DAY(HH332)&amp;"/"&amp;MONTH(INDIRECT("HG"&amp;HL332))&amp;"/"&amp;YEAR(INDIRECT("HG"&amp;HL332))+0,"DD/MM/YYYY"))+0,"")</f>
        <v/>
      </c>
      <c r="HL332" s="1">
        <f t="shared" ca="1" si="87"/>
        <v>303</v>
      </c>
    </row>
    <row r="333" spans="214:220" x14ac:dyDescent="0.2">
      <c r="HF333" s="23" t="str" cm="1">
        <f t="array" aca="1" ref="HF333" ca="1">IFERROR(IF(HI333="","",TEXT(DAY(HH333)&amp;"/"&amp;MONTH(INDIRECT("HG"&amp;HL333))&amp;"/"&amp;YEAR(INDIRECT("HG"&amp;HL333))+0,"DD/MM/YYYY"))+0,"")</f>
        <v/>
      </c>
      <c r="HL333" s="1">
        <f t="shared" ca="1" si="87"/>
        <v>303</v>
      </c>
    </row>
    <row r="334" spans="214:220" x14ac:dyDescent="0.2">
      <c r="HF334" s="23" t="str" cm="1">
        <f t="array" aca="1" ref="HF334" ca="1">IFERROR(IF(HI334="","",TEXT(DAY(HH334)&amp;"/"&amp;MONTH(INDIRECT("HG"&amp;HL334))&amp;"/"&amp;YEAR(INDIRECT("HG"&amp;HL334))+0,"DD/MM/YYYY"))+0,"")</f>
        <v/>
      </c>
      <c r="HL334" s="1">
        <f t="shared" ca="1" si="87"/>
        <v>303</v>
      </c>
    </row>
    <row r="335" spans="214:220" x14ac:dyDescent="0.2">
      <c r="HF335" s="23" t="str" cm="1">
        <f t="array" aca="1" ref="HF335" ca="1">IFERROR(IF(HI335="","",TEXT(DAY(HH335)&amp;"/"&amp;MONTH(INDIRECT("HG"&amp;HL335))&amp;"/"&amp;YEAR(INDIRECT("HG"&amp;HL335))+0,"DD/MM/YYYY"))+0,"")</f>
        <v/>
      </c>
      <c r="HL335" s="1">
        <f t="shared" ca="1" si="87"/>
        <v>303</v>
      </c>
    </row>
    <row r="336" spans="214:220" x14ac:dyDescent="0.2">
      <c r="HF336" s="23" t="str" cm="1">
        <f t="array" aca="1" ref="HF336" ca="1">IFERROR(IF(HI336="","",TEXT(DAY(HH336)&amp;"/"&amp;MONTH(INDIRECT("HG"&amp;HL336))&amp;"/"&amp;YEAR(INDIRECT("HG"&amp;HL336))+0,"DD/MM/YYYY"))+0,"")</f>
        <v/>
      </c>
      <c r="HL336" s="1">
        <f t="shared" ca="1" si="87"/>
        <v>303</v>
      </c>
    </row>
    <row r="337" spans="214:220" x14ac:dyDescent="0.2">
      <c r="HF337" s="23" t="str" cm="1">
        <f t="array" aca="1" ref="HF337" ca="1">IFERROR(IF(HI337="","",TEXT(DAY(HH337)&amp;"/"&amp;MONTH(INDIRECT("HG"&amp;HL337))&amp;"/"&amp;YEAR(INDIRECT("HG"&amp;HL337))+0,"DD/MM/YYYY"))+0,"")</f>
        <v/>
      </c>
      <c r="HL337" s="1">
        <f t="shared" ca="1" si="87"/>
        <v>303</v>
      </c>
    </row>
    <row r="338" spans="214:220" x14ac:dyDescent="0.2">
      <c r="HF338" s="23" t="str" cm="1">
        <f t="array" aca="1" ref="HF338" ca="1">IFERROR(IF(HI338="","",TEXT(DAY(HH338)&amp;"/"&amp;MONTH(INDIRECT("HG"&amp;HL338))&amp;"/"&amp;YEAR(INDIRECT("HG"&amp;HL338))+0,"DD/MM/YYYY"))+0,"")</f>
        <v/>
      </c>
      <c r="HL338" s="1">
        <f t="shared" ca="1" si="87"/>
        <v>303</v>
      </c>
    </row>
    <row r="339" spans="214:220" x14ac:dyDescent="0.2">
      <c r="HF339" s="23" t="str" cm="1">
        <f t="array" aca="1" ref="HF339" ca="1">IFERROR(IF(HI339="","",TEXT(DAY(HH339)&amp;"/"&amp;MONTH(INDIRECT("HG"&amp;HL339))&amp;"/"&amp;YEAR(INDIRECT("HG"&amp;HL339))+0,"DD/MM/YYYY"))+0,"")</f>
        <v/>
      </c>
      <c r="HL339" s="1">
        <f t="shared" ca="1" si="87"/>
        <v>303</v>
      </c>
    </row>
    <row r="340" spans="214:220" x14ac:dyDescent="0.2">
      <c r="HF340" s="23" t="str" cm="1">
        <f t="array" aca="1" ref="HF340" ca="1">IFERROR(IF(HI340="","",TEXT(DAY(HH340)&amp;"/"&amp;MONTH(INDIRECT("HG"&amp;HL340))&amp;"/"&amp;YEAR(INDIRECT("HG"&amp;HL340))+0,"DD/MM/YYYY"))+0,"")</f>
        <v/>
      </c>
      <c r="HL340" s="1">
        <f t="shared" ca="1" si="87"/>
        <v>303</v>
      </c>
    </row>
    <row r="341" spans="214:220" x14ac:dyDescent="0.2">
      <c r="HF341" s="23" t="str" cm="1">
        <f t="array" aca="1" ref="HF341" ca="1">IFERROR(IF(HI341="","",TEXT(DAY(HH341)&amp;"/"&amp;MONTH(INDIRECT("HG"&amp;HL341))&amp;"/"&amp;YEAR(INDIRECT("HG"&amp;HL341))+0,"DD/MM/YYYY"))+0,"")</f>
        <v/>
      </c>
      <c r="HG341" s="44">
        <f>+EDATE(HG303,1)</f>
        <v>46235</v>
      </c>
      <c r="HL341" s="1">
        <f t="shared" si="87"/>
        <v>341</v>
      </c>
    </row>
    <row r="342" spans="214:220" x14ac:dyDescent="0.2">
      <c r="HF342" s="23" t="str" cm="1">
        <f t="array" aca="1" ref="HF342" ca="1">IFERROR(IF(HI342="","",TEXT(DAY(HH342)&amp;"/"&amp;MONTH(INDIRECT("HG"&amp;HL342))&amp;"/"&amp;YEAR(INDIRECT("HG"&amp;HL342))+0,"DD/MM/YYYY"))+0,"")</f>
        <v/>
      </c>
      <c r="HG342" s="1" t="str" cm="1">
        <f t="array" aca="1" ref="HG342" ca="1">IFERROR(
 _xlfn.LET(
  _xlpm.tabla,$I$3:$BB$43,
  _xlpm.cab,$O$2:$BB$2,
  _xlpm.base,COLUMN($O$2)-COLUMN($I$2)+1,
  _xlpm.k,MATCH(HG341,_xlpm.cab,0),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Sin datos</v>
      </c>
      <c r="HL342" s="1">
        <f t="shared" ca="1" si="87"/>
        <v>341</v>
      </c>
    </row>
    <row r="343" spans="214:220" x14ac:dyDescent="0.2">
      <c r="HF343" s="23" t="str" cm="1">
        <f t="array" aca="1" ref="HF343" ca="1">IFERROR(IF(HI343="","",TEXT(DAY(HH343)&amp;"/"&amp;MONTH(INDIRECT("HG"&amp;HL343))&amp;"/"&amp;YEAR(INDIRECT("HG"&amp;HL343))+0,"DD/MM/YYYY"))+0,"")</f>
        <v/>
      </c>
      <c r="HL343" s="1">
        <f t="shared" ca="1" si="87"/>
        <v>341</v>
      </c>
    </row>
    <row r="344" spans="214:220" x14ac:dyDescent="0.2">
      <c r="HF344" s="23" t="str" cm="1">
        <f t="array" aca="1" ref="HF344" ca="1">IFERROR(IF(HI344="","",TEXT(DAY(HH344)&amp;"/"&amp;MONTH(INDIRECT("HG"&amp;HL344))&amp;"/"&amp;YEAR(INDIRECT("HG"&amp;HL344))+0,"DD/MM/YYYY"))+0,"")</f>
        <v/>
      </c>
      <c r="HL344" s="1">
        <f t="shared" ca="1" si="87"/>
        <v>341</v>
      </c>
    </row>
    <row r="345" spans="214:220" x14ac:dyDescent="0.2">
      <c r="HF345" s="23" t="str" cm="1">
        <f t="array" aca="1" ref="HF345" ca="1">IFERROR(IF(HI345="","",TEXT(DAY(HH345)&amp;"/"&amp;MONTH(INDIRECT("HG"&amp;HL345))&amp;"/"&amp;YEAR(INDIRECT("HG"&amp;HL345))+0,"DD/MM/YYYY"))+0,"")</f>
        <v/>
      </c>
      <c r="HL345" s="1">
        <f t="shared" ca="1" si="87"/>
        <v>341</v>
      </c>
    </row>
    <row r="346" spans="214:220" x14ac:dyDescent="0.2">
      <c r="HF346" s="23" t="str" cm="1">
        <f t="array" aca="1" ref="HF346" ca="1">IFERROR(IF(HI346="","",TEXT(DAY(HH346)&amp;"/"&amp;MONTH(INDIRECT("HG"&amp;HL346))&amp;"/"&amp;YEAR(INDIRECT("HG"&amp;HL346))+0,"DD/MM/YYYY"))+0,"")</f>
        <v/>
      </c>
      <c r="HL346" s="1">
        <f t="shared" ca="1" si="87"/>
        <v>341</v>
      </c>
    </row>
    <row r="347" spans="214:220" x14ac:dyDescent="0.2">
      <c r="HF347" s="23" t="str" cm="1">
        <f t="array" aca="1" ref="HF347" ca="1">IFERROR(IF(HI347="","",TEXT(DAY(HH347)&amp;"/"&amp;MONTH(INDIRECT("HG"&amp;HL347))&amp;"/"&amp;YEAR(INDIRECT("HG"&amp;HL347))+0,"DD/MM/YYYY"))+0,"")</f>
        <v/>
      </c>
      <c r="HL347" s="1">
        <f t="shared" ca="1" si="87"/>
        <v>341</v>
      </c>
    </row>
    <row r="348" spans="214:220" x14ac:dyDescent="0.2">
      <c r="HF348" s="23" t="str" cm="1">
        <f t="array" aca="1" ref="HF348" ca="1">IFERROR(IF(HI348="","",TEXT(DAY(HH348)&amp;"/"&amp;MONTH(INDIRECT("HG"&amp;HL348))&amp;"/"&amp;YEAR(INDIRECT("HG"&amp;HL348))+0,"DD/MM/YYYY"))+0,"")</f>
        <v/>
      </c>
      <c r="HL348" s="1">
        <f t="shared" ca="1" si="87"/>
        <v>341</v>
      </c>
    </row>
    <row r="349" spans="214:220" x14ac:dyDescent="0.2">
      <c r="HF349" s="23" t="str" cm="1">
        <f t="array" aca="1" ref="HF349" ca="1">IFERROR(IF(HI349="","",TEXT(DAY(HH349)&amp;"/"&amp;MONTH(INDIRECT("HG"&amp;HL349))&amp;"/"&amp;YEAR(INDIRECT("HG"&amp;HL349))+0,"DD/MM/YYYY"))+0,"")</f>
        <v/>
      </c>
      <c r="HL349" s="1">
        <f t="shared" ca="1" si="87"/>
        <v>341</v>
      </c>
    </row>
    <row r="350" spans="214:220" x14ac:dyDescent="0.2">
      <c r="HF350" s="23" t="str" cm="1">
        <f t="array" aca="1" ref="HF350" ca="1">IFERROR(IF(HI350="","",TEXT(DAY(HH350)&amp;"/"&amp;MONTH(INDIRECT("HG"&amp;HL350))&amp;"/"&amp;YEAR(INDIRECT("HG"&amp;HL350))+0,"DD/MM/YYYY"))+0,"")</f>
        <v/>
      </c>
      <c r="HL350" s="1">
        <f t="shared" ca="1" si="87"/>
        <v>341</v>
      </c>
    </row>
    <row r="351" spans="214:220" x14ac:dyDescent="0.2">
      <c r="HF351" s="23" t="str" cm="1">
        <f t="array" aca="1" ref="HF351" ca="1">IFERROR(IF(HI351="","",TEXT(DAY(HH351)&amp;"/"&amp;MONTH(INDIRECT("HG"&amp;HL351))&amp;"/"&amp;YEAR(INDIRECT("HG"&amp;HL351))+0,"DD/MM/YYYY"))+0,"")</f>
        <v/>
      </c>
      <c r="HL351" s="1">
        <f t="shared" ca="1" si="87"/>
        <v>341</v>
      </c>
    </row>
    <row r="352" spans="214:220" x14ac:dyDescent="0.2">
      <c r="HF352" s="23" t="str" cm="1">
        <f t="array" aca="1" ref="HF352" ca="1">IFERROR(IF(HI352="","",TEXT(DAY(HH352)&amp;"/"&amp;MONTH(INDIRECT("HG"&amp;HL352))&amp;"/"&amp;YEAR(INDIRECT("HG"&amp;HL352))+0,"DD/MM/YYYY"))+0,"")</f>
        <v/>
      </c>
      <c r="HL352" s="1">
        <f t="shared" ca="1" si="87"/>
        <v>341</v>
      </c>
    </row>
    <row r="353" spans="214:220" x14ac:dyDescent="0.2">
      <c r="HF353" s="23" t="str" cm="1">
        <f t="array" aca="1" ref="HF353" ca="1">IFERROR(IF(HI353="","",TEXT(DAY(HH353)&amp;"/"&amp;MONTH(INDIRECT("HG"&amp;HL353))&amp;"/"&amp;YEAR(INDIRECT("HG"&amp;HL353))+0,"DD/MM/YYYY"))+0,"")</f>
        <v/>
      </c>
      <c r="HL353" s="1">
        <f t="shared" ca="1" si="87"/>
        <v>341</v>
      </c>
    </row>
    <row r="354" spans="214:220" x14ac:dyDescent="0.2">
      <c r="HF354" s="23" t="str" cm="1">
        <f t="array" aca="1" ref="HF354" ca="1">IFERROR(IF(HI354="","",TEXT(DAY(HH354)&amp;"/"&amp;MONTH(INDIRECT("HG"&amp;HL354))&amp;"/"&amp;YEAR(INDIRECT("HG"&amp;HL354))+0,"DD/MM/YYYY"))+0,"")</f>
        <v/>
      </c>
      <c r="HL354" s="1">
        <f t="shared" ca="1" si="87"/>
        <v>341</v>
      </c>
    </row>
    <row r="355" spans="214:220" x14ac:dyDescent="0.2">
      <c r="HF355" s="23" t="str" cm="1">
        <f t="array" aca="1" ref="HF355" ca="1">IFERROR(IF(HI355="","",TEXT(DAY(HH355)&amp;"/"&amp;MONTH(INDIRECT("HG"&amp;HL355))&amp;"/"&amp;YEAR(INDIRECT("HG"&amp;HL355))+0,"DD/MM/YYYY"))+0,"")</f>
        <v/>
      </c>
      <c r="HL355" s="1">
        <f t="shared" ca="1" si="87"/>
        <v>341</v>
      </c>
    </row>
    <row r="356" spans="214:220" x14ac:dyDescent="0.2">
      <c r="HF356" s="23" t="str" cm="1">
        <f t="array" aca="1" ref="HF356" ca="1">IFERROR(IF(HI356="","",TEXT(DAY(HH356)&amp;"/"&amp;MONTH(INDIRECT("HG"&amp;HL356))&amp;"/"&amp;YEAR(INDIRECT("HG"&amp;HL356))+0,"DD/MM/YYYY"))+0,"")</f>
        <v/>
      </c>
      <c r="HL356" s="1">
        <f t="shared" ca="1" si="87"/>
        <v>341</v>
      </c>
    </row>
    <row r="357" spans="214:220" x14ac:dyDescent="0.2">
      <c r="HF357" s="23" t="str" cm="1">
        <f t="array" aca="1" ref="HF357" ca="1">IFERROR(IF(HI357="","",TEXT(DAY(HH357)&amp;"/"&amp;MONTH(INDIRECT("HG"&amp;HL357))&amp;"/"&amp;YEAR(INDIRECT("HG"&amp;HL357))+0,"DD/MM/YYYY"))+0,"")</f>
        <v/>
      </c>
      <c r="HL357" s="1">
        <f t="shared" ca="1" si="87"/>
        <v>341</v>
      </c>
    </row>
    <row r="358" spans="214:220" x14ac:dyDescent="0.2">
      <c r="HF358" s="23" t="str" cm="1">
        <f t="array" aca="1" ref="HF358" ca="1">IFERROR(IF(HI358="","",TEXT(DAY(HH358)&amp;"/"&amp;MONTH(INDIRECT("HG"&amp;HL358))&amp;"/"&amp;YEAR(INDIRECT("HG"&amp;HL358))+0,"DD/MM/YYYY"))+0,"")</f>
        <v/>
      </c>
      <c r="HL358" s="1">
        <f t="shared" ca="1" si="87"/>
        <v>341</v>
      </c>
    </row>
    <row r="359" spans="214:220" x14ac:dyDescent="0.2">
      <c r="HF359" s="23" t="str" cm="1">
        <f t="array" aca="1" ref="HF359" ca="1">IFERROR(IF(HI359="","",TEXT(DAY(HH359)&amp;"/"&amp;MONTH(INDIRECT("HG"&amp;HL359))&amp;"/"&amp;YEAR(INDIRECT("HG"&amp;HL359))+0,"DD/MM/YYYY"))+0,"")</f>
        <v/>
      </c>
      <c r="HL359" s="1">
        <f t="shared" ca="1" si="87"/>
        <v>341</v>
      </c>
    </row>
    <row r="360" spans="214:220" x14ac:dyDescent="0.2">
      <c r="HF360" s="23" t="str" cm="1">
        <f t="array" aca="1" ref="HF360" ca="1">IFERROR(IF(HI360="","",TEXT(DAY(HH360)&amp;"/"&amp;MONTH(INDIRECT("HG"&amp;HL360))&amp;"/"&amp;YEAR(INDIRECT("HG"&amp;HL360))+0,"DD/MM/YYYY"))+0,"")</f>
        <v/>
      </c>
      <c r="HL360" s="1">
        <f t="shared" ca="1" si="87"/>
        <v>341</v>
      </c>
    </row>
    <row r="361" spans="214:220" x14ac:dyDescent="0.2">
      <c r="HF361" s="23" t="str" cm="1">
        <f t="array" aca="1" ref="HF361" ca="1">IFERROR(IF(HI361="","",TEXT(DAY(HH361)&amp;"/"&amp;MONTH(INDIRECT("HG"&amp;HL361))&amp;"/"&amp;YEAR(INDIRECT("HG"&amp;HL361))+0,"DD/MM/YYYY"))+0,"")</f>
        <v/>
      </c>
      <c r="HL361" s="1">
        <f t="shared" ca="1" si="87"/>
        <v>341</v>
      </c>
    </row>
    <row r="362" spans="214:220" x14ac:dyDescent="0.2">
      <c r="HF362" s="23" t="str" cm="1">
        <f t="array" aca="1" ref="HF362" ca="1">IFERROR(IF(HI362="","",TEXT(DAY(HH362)&amp;"/"&amp;MONTH(INDIRECT("HG"&amp;HL362))&amp;"/"&amp;YEAR(INDIRECT("HG"&amp;HL362))+0,"DD/MM/YYYY"))+0,"")</f>
        <v/>
      </c>
      <c r="HL362" s="1">
        <f t="shared" ca="1" si="87"/>
        <v>341</v>
      </c>
    </row>
    <row r="363" spans="214:220" x14ac:dyDescent="0.2">
      <c r="HF363" s="23" t="str" cm="1">
        <f t="array" aca="1" ref="HF363" ca="1">IFERROR(IF(HI363="","",TEXT(DAY(HH363)&amp;"/"&amp;MONTH(INDIRECT("HG"&amp;HL363))&amp;"/"&amp;YEAR(INDIRECT("HG"&amp;HL363))+0,"DD/MM/YYYY"))+0,"")</f>
        <v/>
      </c>
      <c r="HL363" s="1">
        <f t="shared" ca="1" si="87"/>
        <v>341</v>
      </c>
    </row>
    <row r="364" spans="214:220" x14ac:dyDescent="0.2">
      <c r="HF364" s="23" t="str" cm="1">
        <f t="array" aca="1" ref="HF364" ca="1">IFERROR(IF(HI364="","",TEXT(DAY(HH364)&amp;"/"&amp;MONTH(INDIRECT("HG"&amp;HL364))&amp;"/"&amp;YEAR(INDIRECT("HG"&amp;HL364))+0,"DD/MM/YYYY"))+0,"")</f>
        <v/>
      </c>
      <c r="HL364" s="1">
        <f t="shared" ca="1" si="87"/>
        <v>341</v>
      </c>
    </row>
    <row r="365" spans="214:220" x14ac:dyDescent="0.2">
      <c r="HF365" s="23" t="str" cm="1">
        <f t="array" aca="1" ref="HF365" ca="1">IFERROR(IF(HI365="","",TEXT(DAY(HH365)&amp;"/"&amp;MONTH(INDIRECT("HG"&amp;HL365))&amp;"/"&amp;YEAR(INDIRECT("HG"&amp;HL365))+0,"DD/MM/YYYY"))+0,"")</f>
        <v/>
      </c>
      <c r="HL365" s="1">
        <f t="shared" ca="1" si="87"/>
        <v>341</v>
      </c>
    </row>
    <row r="366" spans="214:220" x14ac:dyDescent="0.2">
      <c r="HF366" s="23" t="str" cm="1">
        <f t="array" aca="1" ref="HF366" ca="1">IFERROR(IF(HI366="","",TEXT(DAY(HH366)&amp;"/"&amp;MONTH(INDIRECT("HG"&amp;HL366))&amp;"/"&amp;YEAR(INDIRECT("HG"&amp;HL366))+0,"DD/MM/YYYY"))+0,"")</f>
        <v/>
      </c>
      <c r="HL366" s="1">
        <f t="shared" ca="1" si="87"/>
        <v>341</v>
      </c>
    </row>
    <row r="367" spans="214:220" x14ac:dyDescent="0.2">
      <c r="HF367" s="23" t="str" cm="1">
        <f t="array" aca="1" ref="HF367" ca="1">IFERROR(IF(HI367="","",TEXT(DAY(HH367)&amp;"/"&amp;MONTH(INDIRECT("HG"&amp;HL367))&amp;"/"&amp;YEAR(INDIRECT("HG"&amp;HL367))+0,"DD/MM/YYYY"))+0,"")</f>
        <v/>
      </c>
      <c r="HL367" s="1">
        <f t="shared" ca="1" si="87"/>
        <v>341</v>
      </c>
    </row>
    <row r="368" spans="214:220" x14ac:dyDescent="0.2">
      <c r="HF368" s="23" t="str" cm="1">
        <f t="array" aca="1" ref="HF368" ca="1">IFERROR(IF(HI368="","",TEXT(DAY(HH368)&amp;"/"&amp;MONTH(INDIRECT("HG"&amp;HL368))&amp;"/"&amp;YEAR(INDIRECT("HG"&amp;HL368))+0,"DD/MM/YYYY"))+0,"")</f>
        <v/>
      </c>
      <c r="HL368" s="1">
        <f t="shared" ca="1" si="87"/>
        <v>341</v>
      </c>
    </row>
    <row r="369" spans="214:220" x14ac:dyDescent="0.2">
      <c r="HF369" s="23" t="str" cm="1">
        <f t="array" aca="1" ref="HF369" ca="1">IFERROR(IF(HI369="","",TEXT(DAY(HH369)&amp;"/"&amp;MONTH(INDIRECT("HG"&amp;HL369))&amp;"/"&amp;YEAR(INDIRECT("HG"&amp;HL369))+0,"DD/MM/YYYY"))+0,"")</f>
        <v/>
      </c>
      <c r="HL369" s="1">
        <f t="shared" ca="1" si="87"/>
        <v>341</v>
      </c>
    </row>
    <row r="370" spans="214:220" x14ac:dyDescent="0.2">
      <c r="HF370" s="23" t="str" cm="1">
        <f t="array" aca="1" ref="HF370" ca="1">IFERROR(IF(HI370="","",TEXT(DAY(HH370)&amp;"/"&amp;MONTH(INDIRECT("HG"&amp;HL370))&amp;"/"&amp;YEAR(INDIRECT("HG"&amp;HL370))+0,"DD/MM/YYYY"))+0,"")</f>
        <v/>
      </c>
      <c r="HL370" s="1">
        <f t="shared" ca="1" si="87"/>
        <v>341</v>
      </c>
    </row>
    <row r="371" spans="214:220" x14ac:dyDescent="0.2">
      <c r="HF371" s="23" t="str" cm="1">
        <f t="array" aca="1" ref="HF371" ca="1">IFERROR(IF(HI371="","",TEXT(DAY(HH371)&amp;"/"&amp;MONTH(INDIRECT("HG"&amp;HL371))&amp;"/"&amp;YEAR(INDIRECT("HG"&amp;HL371))+0,"DD/MM/YYYY"))+0,"")</f>
        <v/>
      </c>
      <c r="HL371" s="1">
        <f t="shared" ca="1" si="87"/>
        <v>341</v>
      </c>
    </row>
    <row r="372" spans="214:220" x14ac:dyDescent="0.2">
      <c r="HF372" s="23" t="str" cm="1">
        <f t="array" aca="1" ref="HF372" ca="1">IFERROR(IF(HI372="","",TEXT(DAY(HH372)&amp;"/"&amp;MONTH(INDIRECT("HG"&amp;HL372))&amp;"/"&amp;YEAR(INDIRECT("HG"&amp;HL372))+0,"DD/MM/YYYY"))+0,"")</f>
        <v/>
      </c>
      <c r="HL372" s="1">
        <f t="shared" ca="1" si="87"/>
        <v>341</v>
      </c>
    </row>
    <row r="373" spans="214:220" x14ac:dyDescent="0.2">
      <c r="HF373" s="23" t="str" cm="1">
        <f t="array" aca="1" ref="HF373" ca="1">IFERROR(IF(HI373="","",TEXT(DAY(HH373)&amp;"/"&amp;MONTH(INDIRECT("HG"&amp;HL373))&amp;"/"&amp;YEAR(INDIRECT("HG"&amp;HL373))+0,"DD/MM/YYYY"))+0,"")</f>
        <v/>
      </c>
      <c r="HL373" s="1">
        <f t="shared" ca="1" si="87"/>
        <v>341</v>
      </c>
    </row>
    <row r="374" spans="214:220" x14ac:dyDescent="0.2">
      <c r="HF374" s="23" t="str" cm="1">
        <f t="array" aca="1" ref="HF374" ca="1">IFERROR(IF(HI374="","",TEXT(DAY(HH374)&amp;"/"&amp;MONTH(INDIRECT("HG"&amp;HL374))&amp;"/"&amp;YEAR(INDIRECT("HG"&amp;HL374))+0,"DD/MM/YYYY"))+0,"")</f>
        <v/>
      </c>
      <c r="HL374" s="1">
        <f t="shared" ca="1" si="87"/>
        <v>341</v>
      </c>
    </row>
    <row r="375" spans="214:220" x14ac:dyDescent="0.2">
      <c r="HF375" s="23" t="str" cm="1">
        <f t="array" aca="1" ref="HF375" ca="1">IFERROR(IF(HI375="","",TEXT(DAY(HH375)&amp;"/"&amp;MONTH(INDIRECT("HG"&amp;HL375))&amp;"/"&amp;YEAR(INDIRECT("HG"&amp;HL375))+0,"DD/MM/YYYY"))+0,"")</f>
        <v/>
      </c>
      <c r="HL375" s="1">
        <f t="shared" ca="1" si="87"/>
        <v>341</v>
      </c>
    </row>
    <row r="376" spans="214:220" x14ac:dyDescent="0.2">
      <c r="HF376" s="23" t="str" cm="1">
        <f t="array" aca="1" ref="HF376" ca="1">IFERROR(IF(HI376="","",TEXT(DAY(HH376)&amp;"/"&amp;MONTH(INDIRECT("HG"&amp;HL376))&amp;"/"&amp;YEAR(INDIRECT("HG"&amp;HL376))+0,"DD/MM/YYYY"))+0,"")</f>
        <v/>
      </c>
      <c r="HL376" s="1">
        <f t="shared" ca="1" si="87"/>
        <v>341</v>
      </c>
    </row>
    <row r="377" spans="214:220" x14ac:dyDescent="0.2">
      <c r="HF377" s="23" t="str" cm="1">
        <f t="array" aca="1" ref="HF377" ca="1">IFERROR(IF(HI377="","",TEXT(DAY(HH377)&amp;"/"&amp;MONTH(INDIRECT("HG"&amp;HL377))&amp;"/"&amp;YEAR(INDIRECT("HG"&amp;HL377))+0,"DD/MM/YYYY"))+0,"")</f>
        <v/>
      </c>
      <c r="HL377" s="1">
        <f t="shared" ca="1" si="87"/>
        <v>341</v>
      </c>
    </row>
    <row r="378" spans="214:220" x14ac:dyDescent="0.2">
      <c r="HF378" s="23" t="str" cm="1">
        <f t="array" aca="1" ref="HF378" ca="1">IFERROR(IF(HI378="","",TEXT(DAY(HH378)&amp;"/"&amp;MONTH(INDIRECT("HG"&amp;HL378))&amp;"/"&amp;YEAR(INDIRECT("HG"&amp;HL378))+0,"DD/MM/YYYY"))+0,"")</f>
        <v/>
      </c>
      <c r="HL378" s="1">
        <f t="shared" ca="1" si="87"/>
        <v>341</v>
      </c>
    </row>
    <row r="379" spans="214:220" x14ac:dyDescent="0.2">
      <c r="HF379" s="23" t="str" cm="1">
        <f t="array" aca="1" ref="HF379" ca="1">IFERROR(IF(HI379="","",TEXT(DAY(HH379)&amp;"/"&amp;MONTH(INDIRECT("HG"&amp;HL379))&amp;"/"&amp;YEAR(INDIRECT("HG"&amp;HL379))+0,"DD/MM/YYYY"))+0,"")</f>
        <v/>
      </c>
      <c r="HG379" s="44">
        <f>+EDATE(HG341,1)</f>
        <v>46266</v>
      </c>
      <c r="HL379" s="1">
        <f t="shared" si="87"/>
        <v>379</v>
      </c>
    </row>
    <row r="380" spans="214:220" x14ac:dyDescent="0.2">
      <c r="HF380" s="23" t="str" cm="1">
        <f t="array" aca="1" ref="HF380" ca="1">IFERROR(IF(HI380="","",TEXT(DAY(HH380)&amp;"/"&amp;MONTH(INDIRECT("HG"&amp;HL380))&amp;"/"&amp;YEAR(INDIRECT("HG"&amp;HL380))+0,"DD/MM/YYYY"))+0,"")</f>
        <v/>
      </c>
      <c r="HG380" s="1" t="str" cm="1">
        <f t="array" aca="1" ref="HG380" ca="1">IFERROR(
 _xlfn.LET(
  _xlpm.tabla,$I$3:$BB$43,
  _xlpm.cab,$O$2:$BB$2,
  _xlpm.base,COLUMN($O$2)-COLUMN($I$2)+1,
  _xlpm.k,MATCH(HG379,_xlpm.cab,0),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Sin datos</v>
      </c>
      <c r="HL380" s="1">
        <f t="shared" ca="1" si="87"/>
        <v>379</v>
      </c>
    </row>
    <row r="381" spans="214:220" x14ac:dyDescent="0.2">
      <c r="HF381" s="23" t="str" cm="1">
        <f t="array" aca="1" ref="HF381" ca="1">IFERROR(IF(HI381="","",TEXT(DAY(HH381)&amp;"/"&amp;MONTH(INDIRECT("HG"&amp;HL381))&amp;"/"&amp;YEAR(INDIRECT("HG"&amp;HL381))+0,"DD/MM/YYYY"))+0,"")</f>
        <v/>
      </c>
      <c r="HL381" s="1">
        <f t="shared" ca="1" si="87"/>
        <v>379</v>
      </c>
    </row>
    <row r="382" spans="214:220" x14ac:dyDescent="0.2">
      <c r="HF382" s="23" t="str" cm="1">
        <f t="array" aca="1" ref="HF382" ca="1">IFERROR(IF(HI382="","",TEXT(DAY(HH382)&amp;"/"&amp;MONTH(INDIRECT("HG"&amp;HL382))&amp;"/"&amp;YEAR(INDIRECT("HG"&amp;HL382))+0,"DD/MM/YYYY"))+0,"")</f>
        <v/>
      </c>
      <c r="HL382" s="1">
        <f t="shared" ca="1" si="87"/>
        <v>379</v>
      </c>
    </row>
    <row r="383" spans="214:220" x14ac:dyDescent="0.2">
      <c r="HF383" s="23" t="str" cm="1">
        <f t="array" aca="1" ref="HF383" ca="1">IFERROR(IF(HI383="","",TEXT(DAY(HH383)&amp;"/"&amp;MONTH(INDIRECT("HG"&amp;HL383))&amp;"/"&amp;YEAR(INDIRECT("HG"&amp;HL383))+0,"DD/MM/YYYY"))+0,"")</f>
        <v/>
      </c>
      <c r="HL383" s="1">
        <f t="shared" ca="1" si="87"/>
        <v>379</v>
      </c>
    </row>
    <row r="384" spans="214:220" x14ac:dyDescent="0.2">
      <c r="HF384" s="23" t="str" cm="1">
        <f t="array" aca="1" ref="HF384" ca="1">IFERROR(IF(HI384="","",TEXT(DAY(HH384)&amp;"/"&amp;MONTH(INDIRECT("HG"&amp;HL384))&amp;"/"&amp;YEAR(INDIRECT("HG"&amp;HL384))+0,"DD/MM/YYYY"))+0,"")</f>
        <v/>
      </c>
      <c r="HL384" s="1">
        <f t="shared" ca="1" si="87"/>
        <v>379</v>
      </c>
    </row>
    <row r="385" spans="214:220" x14ac:dyDescent="0.2">
      <c r="HF385" s="23" t="str" cm="1">
        <f t="array" aca="1" ref="HF385" ca="1">IFERROR(IF(HI385="","",TEXT(DAY(HH385)&amp;"/"&amp;MONTH(INDIRECT("HG"&amp;HL385))&amp;"/"&amp;YEAR(INDIRECT("HG"&amp;HL385))+0,"DD/MM/YYYY"))+0,"")</f>
        <v/>
      </c>
      <c r="HL385" s="1">
        <f t="shared" ca="1" si="87"/>
        <v>379</v>
      </c>
    </row>
    <row r="386" spans="214:220" x14ac:dyDescent="0.2">
      <c r="HF386" s="23" t="str" cm="1">
        <f t="array" aca="1" ref="HF386" ca="1">IFERROR(IF(HI386="","",TEXT(DAY(HH386)&amp;"/"&amp;MONTH(INDIRECT("HG"&amp;HL386))&amp;"/"&amp;YEAR(INDIRECT("HG"&amp;HL386))+0,"DD/MM/YYYY"))+0,"")</f>
        <v/>
      </c>
      <c r="HL386" s="1">
        <f t="shared" ca="1" si="87"/>
        <v>379</v>
      </c>
    </row>
    <row r="387" spans="214:220" x14ac:dyDescent="0.2">
      <c r="HF387" s="23" t="str" cm="1">
        <f t="array" aca="1" ref="HF387" ca="1">IFERROR(IF(HI387="","",TEXT(DAY(HH387)&amp;"/"&amp;MONTH(INDIRECT("HG"&amp;HL387))&amp;"/"&amp;YEAR(INDIRECT("HG"&amp;HL387))+0,"DD/MM/YYYY"))+0,"")</f>
        <v/>
      </c>
      <c r="HL387" s="1">
        <f t="shared" ca="1" si="87"/>
        <v>379</v>
      </c>
    </row>
    <row r="388" spans="214:220" x14ac:dyDescent="0.2">
      <c r="HF388" s="23" t="str" cm="1">
        <f t="array" aca="1" ref="HF388" ca="1">IFERROR(IF(HI388="","",TEXT(DAY(HH388)&amp;"/"&amp;MONTH(INDIRECT("HG"&amp;HL388))&amp;"/"&amp;YEAR(INDIRECT("HG"&amp;HL388))+0,"DD/MM/YYYY"))+0,"")</f>
        <v/>
      </c>
      <c r="HL388" s="1">
        <f t="shared" ca="1" si="87"/>
        <v>379</v>
      </c>
    </row>
    <row r="389" spans="214:220" x14ac:dyDescent="0.2">
      <c r="HF389" s="23" t="str" cm="1">
        <f t="array" aca="1" ref="HF389" ca="1">IFERROR(IF(HI389="","",TEXT(DAY(HH389)&amp;"/"&amp;MONTH(INDIRECT("HG"&amp;HL389))&amp;"/"&amp;YEAR(INDIRECT("HG"&amp;HL389))+0,"DD/MM/YYYY"))+0,"")</f>
        <v/>
      </c>
      <c r="HL389" s="1">
        <f t="shared" ref="HL389:HL452" ca="1" si="88">+IF(ISNUMBER(HG389),ROW(),HL388)</f>
        <v>379</v>
      </c>
    </row>
    <row r="390" spans="214:220" x14ac:dyDescent="0.2">
      <c r="HF390" s="23" t="str" cm="1">
        <f t="array" aca="1" ref="HF390" ca="1">IFERROR(IF(HI390="","",TEXT(DAY(HH390)&amp;"/"&amp;MONTH(INDIRECT("HG"&amp;HL390))&amp;"/"&amp;YEAR(INDIRECT("HG"&amp;HL390))+0,"DD/MM/YYYY"))+0,"")</f>
        <v/>
      </c>
      <c r="HL390" s="1">
        <f t="shared" ca="1" si="88"/>
        <v>379</v>
      </c>
    </row>
    <row r="391" spans="214:220" x14ac:dyDescent="0.2">
      <c r="HF391" s="23" t="str" cm="1">
        <f t="array" aca="1" ref="HF391" ca="1">IFERROR(IF(HI391="","",TEXT(DAY(HH391)&amp;"/"&amp;MONTH(INDIRECT("HG"&amp;HL391))&amp;"/"&amp;YEAR(INDIRECT("HG"&amp;HL391))+0,"DD/MM/YYYY"))+0,"")</f>
        <v/>
      </c>
      <c r="HL391" s="1">
        <f t="shared" ca="1" si="88"/>
        <v>379</v>
      </c>
    </row>
    <row r="392" spans="214:220" x14ac:dyDescent="0.2">
      <c r="HF392" s="23" t="str" cm="1">
        <f t="array" aca="1" ref="HF392" ca="1">IFERROR(IF(HI392="","",TEXT(DAY(HH392)&amp;"/"&amp;MONTH(INDIRECT("HG"&amp;HL392))&amp;"/"&amp;YEAR(INDIRECT("HG"&amp;HL392))+0,"DD/MM/YYYY"))+0,"")</f>
        <v/>
      </c>
      <c r="HL392" s="1">
        <f t="shared" ca="1" si="88"/>
        <v>379</v>
      </c>
    </row>
    <row r="393" spans="214:220" x14ac:dyDescent="0.2">
      <c r="HF393" s="23" t="str" cm="1">
        <f t="array" aca="1" ref="HF393" ca="1">IFERROR(IF(HI393="","",TEXT(DAY(HH393)&amp;"/"&amp;MONTH(INDIRECT("HG"&amp;HL393))&amp;"/"&amp;YEAR(INDIRECT("HG"&amp;HL393))+0,"DD/MM/YYYY"))+0,"")</f>
        <v/>
      </c>
      <c r="HL393" s="1">
        <f t="shared" ca="1" si="88"/>
        <v>379</v>
      </c>
    </row>
    <row r="394" spans="214:220" x14ac:dyDescent="0.2">
      <c r="HF394" s="23" t="str" cm="1">
        <f t="array" aca="1" ref="HF394" ca="1">IFERROR(IF(HI394="","",TEXT(DAY(HH394)&amp;"/"&amp;MONTH(INDIRECT("HG"&amp;HL394))&amp;"/"&amp;YEAR(INDIRECT("HG"&amp;HL394))+0,"DD/MM/YYYY"))+0,"")</f>
        <v/>
      </c>
      <c r="HL394" s="1">
        <f t="shared" ca="1" si="88"/>
        <v>379</v>
      </c>
    </row>
    <row r="395" spans="214:220" x14ac:dyDescent="0.2">
      <c r="HF395" s="23" t="str" cm="1">
        <f t="array" aca="1" ref="HF395" ca="1">IFERROR(IF(HI395="","",TEXT(DAY(HH395)&amp;"/"&amp;MONTH(INDIRECT("HG"&amp;HL395))&amp;"/"&amp;YEAR(INDIRECT("HG"&amp;HL395))+0,"DD/MM/YYYY"))+0,"")</f>
        <v/>
      </c>
      <c r="HL395" s="1">
        <f t="shared" ca="1" si="88"/>
        <v>379</v>
      </c>
    </row>
    <row r="396" spans="214:220" x14ac:dyDescent="0.2">
      <c r="HF396" s="23" t="str" cm="1">
        <f t="array" aca="1" ref="HF396" ca="1">IFERROR(IF(HI396="","",TEXT(DAY(HH396)&amp;"/"&amp;MONTH(INDIRECT("HG"&amp;HL396))&amp;"/"&amp;YEAR(INDIRECT("HG"&amp;HL396))+0,"DD/MM/YYYY"))+0,"")</f>
        <v/>
      </c>
      <c r="HL396" s="1">
        <f t="shared" ca="1" si="88"/>
        <v>379</v>
      </c>
    </row>
    <row r="397" spans="214:220" x14ac:dyDescent="0.2">
      <c r="HF397" s="23" t="str" cm="1">
        <f t="array" aca="1" ref="HF397" ca="1">IFERROR(IF(HI397="","",TEXT(DAY(HH397)&amp;"/"&amp;MONTH(INDIRECT("HG"&amp;HL397))&amp;"/"&amp;YEAR(INDIRECT("HG"&amp;HL397))+0,"DD/MM/YYYY"))+0,"")</f>
        <v/>
      </c>
      <c r="HL397" s="1">
        <f t="shared" ca="1" si="88"/>
        <v>379</v>
      </c>
    </row>
    <row r="398" spans="214:220" x14ac:dyDescent="0.2">
      <c r="HF398" s="23" t="str" cm="1">
        <f t="array" aca="1" ref="HF398" ca="1">IFERROR(IF(HI398="","",TEXT(DAY(HH398)&amp;"/"&amp;MONTH(INDIRECT("HG"&amp;HL398))&amp;"/"&amp;YEAR(INDIRECT("HG"&amp;HL398))+0,"DD/MM/YYYY"))+0,"")</f>
        <v/>
      </c>
      <c r="HL398" s="1">
        <f t="shared" ca="1" si="88"/>
        <v>379</v>
      </c>
    </row>
    <row r="399" spans="214:220" x14ac:dyDescent="0.2">
      <c r="HF399" s="23" t="str" cm="1">
        <f t="array" aca="1" ref="HF399" ca="1">IFERROR(IF(HI399="","",TEXT(DAY(HH399)&amp;"/"&amp;MONTH(INDIRECT("HG"&amp;HL399))&amp;"/"&amp;YEAR(INDIRECT("HG"&amp;HL399))+0,"DD/MM/YYYY"))+0,"")</f>
        <v/>
      </c>
      <c r="HL399" s="1">
        <f t="shared" ca="1" si="88"/>
        <v>379</v>
      </c>
    </row>
    <row r="400" spans="214:220" x14ac:dyDescent="0.2">
      <c r="HF400" s="23" t="str" cm="1">
        <f t="array" aca="1" ref="HF400" ca="1">IFERROR(IF(HI400="","",TEXT(DAY(HH400)&amp;"/"&amp;MONTH(INDIRECT("HG"&amp;HL400))&amp;"/"&amp;YEAR(INDIRECT("HG"&amp;HL400))+0,"DD/MM/YYYY"))+0,"")</f>
        <v/>
      </c>
      <c r="HL400" s="1">
        <f t="shared" ca="1" si="88"/>
        <v>379</v>
      </c>
    </row>
    <row r="401" spans="214:220" x14ac:dyDescent="0.2">
      <c r="HF401" s="23" t="str" cm="1">
        <f t="array" aca="1" ref="HF401" ca="1">IFERROR(IF(HI401="","",TEXT(DAY(HH401)&amp;"/"&amp;MONTH(INDIRECT("HG"&amp;HL401))&amp;"/"&amp;YEAR(INDIRECT("HG"&amp;HL401))+0,"DD/MM/YYYY"))+0,"")</f>
        <v/>
      </c>
      <c r="HL401" s="1">
        <f t="shared" ca="1" si="88"/>
        <v>379</v>
      </c>
    </row>
    <row r="402" spans="214:220" x14ac:dyDescent="0.2">
      <c r="HF402" s="23" t="str" cm="1">
        <f t="array" aca="1" ref="HF402" ca="1">IFERROR(IF(HI402="","",TEXT(DAY(HH402)&amp;"/"&amp;MONTH(INDIRECT("HG"&amp;HL402))&amp;"/"&amp;YEAR(INDIRECT("HG"&amp;HL402))+0,"DD/MM/YYYY"))+0,"")</f>
        <v/>
      </c>
      <c r="HL402" s="1">
        <f t="shared" ca="1" si="88"/>
        <v>379</v>
      </c>
    </row>
    <row r="403" spans="214:220" x14ac:dyDescent="0.2">
      <c r="HF403" s="23" t="str" cm="1">
        <f t="array" aca="1" ref="HF403" ca="1">IFERROR(IF(HI403="","",TEXT(DAY(HH403)&amp;"/"&amp;MONTH(INDIRECT("HG"&amp;HL403))&amp;"/"&amp;YEAR(INDIRECT("HG"&amp;HL403))+0,"DD/MM/YYYY"))+0,"")</f>
        <v/>
      </c>
      <c r="HL403" s="1">
        <f t="shared" ca="1" si="88"/>
        <v>379</v>
      </c>
    </row>
    <row r="404" spans="214:220" x14ac:dyDescent="0.2">
      <c r="HF404" s="23" t="str" cm="1">
        <f t="array" aca="1" ref="HF404" ca="1">IFERROR(IF(HI404="","",TEXT(DAY(HH404)&amp;"/"&amp;MONTH(INDIRECT("HG"&amp;HL404))&amp;"/"&amp;YEAR(INDIRECT("HG"&amp;HL404))+0,"DD/MM/YYYY"))+0,"")</f>
        <v/>
      </c>
      <c r="HL404" s="1">
        <f t="shared" ca="1" si="88"/>
        <v>379</v>
      </c>
    </row>
    <row r="405" spans="214:220" x14ac:dyDescent="0.2">
      <c r="HF405" s="23" t="str" cm="1">
        <f t="array" aca="1" ref="HF405" ca="1">IFERROR(IF(HI405="","",TEXT(DAY(HH405)&amp;"/"&amp;MONTH(INDIRECT("HG"&amp;HL405))&amp;"/"&amp;YEAR(INDIRECT("HG"&amp;HL405))+0,"DD/MM/YYYY"))+0,"")</f>
        <v/>
      </c>
      <c r="HL405" s="1">
        <f t="shared" ca="1" si="88"/>
        <v>379</v>
      </c>
    </row>
    <row r="406" spans="214:220" x14ac:dyDescent="0.2">
      <c r="HF406" s="23" t="str" cm="1">
        <f t="array" aca="1" ref="HF406" ca="1">IFERROR(IF(HI406="","",TEXT(DAY(HH406)&amp;"/"&amp;MONTH(INDIRECT("HG"&amp;HL406))&amp;"/"&amp;YEAR(INDIRECT("HG"&amp;HL406))+0,"DD/MM/YYYY"))+0,"")</f>
        <v/>
      </c>
      <c r="HL406" s="1">
        <f t="shared" ca="1" si="88"/>
        <v>379</v>
      </c>
    </row>
    <row r="407" spans="214:220" x14ac:dyDescent="0.2">
      <c r="HF407" s="23" t="str" cm="1">
        <f t="array" aca="1" ref="HF407" ca="1">IFERROR(IF(HI407="","",TEXT(DAY(HH407)&amp;"/"&amp;MONTH(INDIRECT("HG"&amp;HL407))&amp;"/"&amp;YEAR(INDIRECT("HG"&amp;HL407))+0,"DD/MM/YYYY"))+0,"")</f>
        <v/>
      </c>
      <c r="HL407" s="1">
        <f t="shared" ca="1" si="88"/>
        <v>379</v>
      </c>
    </row>
    <row r="408" spans="214:220" x14ac:dyDescent="0.2">
      <c r="HF408" s="23" t="str" cm="1">
        <f t="array" aca="1" ref="HF408" ca="1">IFERROR(IF(HI408="","",TEXT(DAY(HH408)&amp;"/"&amp;MONTH(INDIRECT("HG"&amp;HL408))&amp;"/"&amp;YEAR(INDIRECT("HG"&amp;HL408))+0,"DD/MM/YYYY"))+0,"")</f>
        <v/>
      </c>
      <c r="HL408" s="1">
        <f t="shared" ca="1" si="88"/>
        <v>379</v>
      </c>
    </row>
    <row r="409" spans="214:220" x14ac:dyDescent="0.2">
      <c r="HF409" s="23" t="str" cm="1">
        <f t="array" aca="1" ref="HF409" ca="1">IFERROR(IF(HI409="","",TEXT(DAY(HH409)&amp;"/"&amp;MONTH(INDIRECT("HG"&amp;HL409))&amp;"/"&amp;YEAR(INDIRECT("HG"&amp;HL409))+0,"DD/MM/YYYY"))+0,"")</f>
        <v/>
      </c>
      <c r="HL409" s="1">
        <f t="shared" ca="1" si="88"/>
        <v>379</v>
      </c>
    </row>
    <row r="410" spans="214:220" x14ac:dyDescent="0.2">
      <c r="HF410" s="23" t="str" cm="1">
        <f t="array" aca="1" ref="HF410" ca="1">IFERROR(IF(HI410="","",TEXT(DAY(HH410)&amp;"/"&amp;MONTH(INDIRECT("HG"&amp;HL410))&amp;"/"&amp;YEAR(INDIRECT("HG"&amp;HL410))+0,"DD/MM/YYYY"))+0,"")</f>
        <v/>
      </c>
      <c r="HL410" s="1">
        <f t="shared" ca="1" si="88"/>
        <v>379</v>
      </c>
    </row>
    <row r="411" spans="214:220" x14ac:dyDescent="0.2">
      <c r="HF411" s="23" t="str" cm="1">
        <f t="array" aca="1" ref="HF411" ca="1">IFERROR(IF(HI411="","",TEXT(DAY(HH411)&amp;"/"&amp;MONTH(INDIRECT("HG"&amp;HL411))&amp;"/"&amp;YEAR(INDIRECT("HG"&amp;HL411))+0,"DD/MM/YYYY"))+0,"")</f>
        <v/>
      </c>
      <c r="HL411" s="1">
        <f t="shared" ca="1" si="88"/>
        <v>379</v>
      </c>
    </row>
    <row r="412" spans="214:220" x14ac:dyDescent="0.2">
      <c r="HF412" s="23" t="str" cm="1">
        <f t="array" aca="1" ref="HF412" ca="1">IFERROR(IF(HI412="","",TEXT(DAY(HH412)&amp;"/"&amp;MONTH(INDIRECT("HG"&amp;HL412))&amp;"/"&amp;YEAR(INDIRECT("HG"&amp;HL412))+0,"DD/MM/YYYY"))+0,"")</f>
        <v/>
      </c>
      <c r="HL412" s="1">
        <f t="shared" ca="1" si="88"/>
        <v>379</v>
      </c>
    </row>
    <row r="413" spans="214:220" x14ac:dyDescent="0.2">
      <c r="HF413" s="23" t="str" cm="1">
        <f t="array" aca="1" ref="HF413" ca="1">IFERROR(IF(HI413="","",TEXT(DAY(HH413)&amp;"/"&amp;MONTH(INDIRECT("HG"&amp;HL413))&amp;"/"&amp;YEAR(INDIRECT("HG"&amp;HL413))+0,"DD/MM/YYYY"))+0,"")</f>
        <v/>
      </c>
      <c r="HL413" s="1">
        <f t="shared" ca="1" si="88"/>
        <v>379</v>
      </c>
    </row>
    <row r="414" spans="214:220" x14ac:dyDescent="0.2">
      <c r="HF414" s="23" t="str" cm="1">
        <f t="array" aca="1" ref="HF414" ca="1">IFERROR(IF(HI414="","",TEXT(DAY(HH414)&amp;"/"&amp;MONTH(INDIRECT("HG"&amp;HL414))&amp;"/"&amp;YEAR(INDIRECT("HG"&amp;HL414))+0,"DD/MM/YYYY"))+0,"")</f>
        <v/>
      </c>
      <c r="HL414" s="1">
        <f t="shared" ca="1" si="88"/>
        <v>379</v>
      </c>
    </row>
    <row r="415" spans="214:220" x14ac:dyDescent="0.2">
      <c r="HF415" s="23" t="str" cm="1">
        <f t="array" aca="1" ref="HF415" ca="1">IFERROR(IF(HI415="","",TEXT(DAY(HH415)&amp;"/"&amp;MONTH(INDIRECT("HG"&amp;HL415))&amp;"/"&amp;YEAR(INDIRECT("HG"&amp;HL415))+0,"DD/MM/YYYY"))+0,"")</f>
        <v/>
      </c>
      <c r="HL415" s="1">
        <f t="shared" ca="1" si="88"/>
        <v>379</v>
      </c>
    </row>
    <row r="416" spans="214:220" x14ac:dyDescent="0.2">
      <c r="HF416" s="23" t="str" cm="1">
        <f t="array" aca="1" ref="HF416" ca="1">IFERROR(IF(HI416="","",TEXT(DAY(HH416)&amp;"/"&amp;MONTH(INDIRECT("HG"&amp;HL416))&amp;"/"&amp;YEAR(INDIRECT("HG"&amp;HL416))+0,"DD/MM/YYYY"))+0,"")</f>
        <v/>
      </c>
      <c r="HL416" s="1">
        <f t="shared" ca="1" si="88"/>
        <v>379</v>
      </c>
    </row>
    <row r="417" spans="214:220" x14ac:dyDescent="0.2">
      <c r="HF417" s="23" t="str" cm="1">
        <f t="array" aca="1" ref="HF417" ca="1">IFERROR(IF(HI417="","",TEXT(DAY(HH417)&amp;"/"&amp;MONTH(INDIRECT("HG"&amp;HL417))&amp;"/"&amp;YEAR(INDIRECT("HG"&amp;HL417))+0,"DD/MM/YYYY"))+0,"")</f>
        <v/>
      </c>
      <c r="HG417" s="44">
        <f>+EDATE(HG379,1)</f>
        <v>46296</v>
      </c>
      <c r="HL417" s="1">
        <f t="shared" si="88"/>
        <v>417</v>
      </c>
    </row>
    <row r="418" spans="214:220" x14ac:dyDescent="0.2">
      <c r="HF418" s="23" t="str" cm="1">
        <f t="array" aca="1" ref="HF418" ca="1">IFERROR(IF(HI418="","",TEXT(DAY(HH418)&amp;"/"&amp;MONTH(INDIRECT("HG"&amp;HL418))&amp;"/"&amp;YEAR(INDIRECT("HG"&amp;HL418))+0,"DD/MM/YYYY"))+0,"")</f>
        <v/>
      </c>
      <c r="HG418" s="1" t="str" cm="1">
        <f t="array" aca="1" ref="HG418" ca="1">IFERROR(
 _xlfn.LET(
  _xlpm.tabla,$I$3:$BB$43,
  _xlpm.cab,$O$2:$BB$2,
  _xlpm.base,COLUMN($O$2)-COLUMN($I$2)+1,
  _xlpm.k,MATCH(HG417,_xlpm.cab,0),
  _xlpm.sel,_xlpm.base+_xlpm.k-1,
  _xlpm.izq,_xlpm.sel-1,
  _xlpm.ncol,COLUMNS(_xlpm.tabla),
  _xlpm.colG,_xlfn.CHOOSECOLS(_xlpm.tabla,1),
  _xlpm.colIzqTxt,INDEX(_xlpm.tabla,,_xlpm.izq),
  _xlpm.colIzqA,IFERROR(--_xlpm.colIzqTxt,""),
  _xlpm.colIzqB,IFERROR(FECHA.VALOR(_xlpm.colIzqTxt),""),
  _xlpm.mesAlt,IFERROR(VALUE(LEFT(_xlpm.colIzqTxt,SEARCH("/",_xlpm.colIzqTxt)-1)),IFERROR(VALUE(LEFT(_xlpm.colIzqTxt,SEARCH("-",_xlpm.colIzqTxt)-1)),"")),
  _xlpm.anioAlt,IFERROR(VALUE(RIGHT(_xlpm.colIzqTxt,4)),""),
  _xlpm.colIzqC,IF(AND(_xlpm.mesAlt&lt;&gt;"",_xlpm.anioAlt&lt;&gt;""),DATE(_xlpm.anioAlt,_xlpm.mesAlt,1),""),
  _xlpm.colIzq,IF(_xlpm.colIzqA&lt;&gt;"",_xlpm.colIzqA,IF(_xlpm.colIzqB&lt;&gt;"",_xlpm.colIzqB,_xlpm.colIzqC)),
  _xlpm.colSel,INDEX(_xlpm.tabla,,_xlpm.sel),
  _xlpm.colDer,IF(_xlpm.sel&lt;_xlpm.ncol,INDEX(_xlpm.tabla,,_xlpm.sel+1),""),
  _xlpm.colDer2,IF(_xlpm.sel&lt;_xlpm.ncol-1,INDEX(_xlpm.tabla,,_xlpm.sel+2),""),
  _xlpm.colSelOK,IF(_xlpm.colSel=0,"",_xlpm.colSel),
  _xlpm.colDerOK,IF(_xlpm.colDer=0,"",_xlpm.colDer),
  _xlpm.colDer2OK,IF(_xlpm.colDer2=0,"",_xlpm.colDer2),
  _xlpm.cols,_xlfn.HSTACK(_xlpm.colG,_xlpm.colIzq,_xlpm.colSelOK,_xlpm.colDerOK,_xlpm.colDer2OK),
  _xlpm.crit,(_xlpm.colSel&lt;&gt;0)*(_xlpm.colSel&lt;&gt;"")*(_xlpm.colG&lt;&gt;""),
  _xlfn._xlws.SORT(_xlfn._xlws.FILTER(_xlpm.cols,_xlpm.crit),2,1)
 ),
 "Sin datos"
)</f>
        <v>Sin datos</v>
      </c>
      <c r="HL418" s="1">
        <f t="shared" ca="1" si="88"/>
        <v>417</v>
      </c>
    </row>
    <row r="419" spans="214:220" x14ac:dyDescent="0.2">
      <c r="HL419" s="1">
        <f t="shared" ca="1" si="88"/>
        <v>417</v>
      </c>
    </row>
    <row r="420" spans="214:220" x14ac:dyDescent="0.2">
      <c r="HL420" s="1">
        <f t="shared" ca="1" si="88"/>
        <v>417</v>
      </c>
    </row>
    <row r="421" spans="214:220" x14ac:dyDescent="0.2">
      <c r="HL421" s="1">
        <f t="shared" ca="1" si="88"/>
        <v>417</v>
      </c>
    </row>
    <row r="422" spans="214:220" x14ac:dyDescent="0.2">
      <c r="HL422" s="1">
        <f t="shared" ca="1" si="88"/>
        <v>417</v>
      </c>
    </row>
    <row r="423" spans="214:220" x14ac:dyDescent="0.2">
      <c r="HL423" s="1">
        <f t="shared" ca="1" si="88"/>
        <v>417</v>
      </c>
    </row>
    <row r="424" spans="214:220" x14ac:dyDescent="0.2">
      <c r="HL424" s="1">
        <f t="shared" ca="1" si="88"/>
        <v>417</v>
      </c>
    </row>
    <row r="425" spans="214:220" x14ac:dyDescent="0.2">
      <c r="HL425" s="1">
        <f t="shared" ca="1" si="88"/>
        <v>417</v>
      </c>
    </row>
    <row r="426" spans="214:220" x14ac:dyDescent="0.2">
      <c r="HL426" s="1">
        <f t="shared" ca="1" si="88"/>
        <v>417</v>
      </c>
    </row>
    <row r="427" spans="214:220" x14ac:dyDescent="0.2">
      <c r="HL427" s="1">
        <f t="shared" ca="1" si="88"/>
        <v>417</v>
      </c>
    </row>
    <row r="428" spans="214:220" x14ac:dyDescent="0.2">
      <c r="HL428" s="1">
        <f t="shared" ca="1" si="88"/>
        <v>417</v>
      </c>
    </row>
    <row r="429" spans="214:220" x14ac:dyDescent="0.2">
      <c r="HL429" s="1">
        <f t="shared" ca="1" si="88"/>
        <v>417</v>
      </c>
    </row>
    <row r="430" spans="214:220" x14ac:dyDescent="0.2">
      <c r="HL430" s="1">
        <f t="shared" ca="1" si="88"/>
        <v>417</v>
      </c>
    </row>
    <row r="431" spans="214:220" x14ac:dyDescent="0.2">
      <c r="HL431" s="1">
        <f t="shared" ca="1" si="88"/>
        <v>417</v>
      </c>
    </row>
    <row r="432" spans="214:220" x14ac:dyDescent="0.2">
      <c r="HL432" s="1">
        <f t="shared" ca="1" si="88"/>
        <v>417</v>
      </c>
    </row>
    <row r="433" spans="220:220" x14ac:dyDescent="0.2">
      <c r="HL433" s="1">
        <f t="shared" ca="1" si="88"/>
        <v>417</v>
      </c>
    </row>
    <row r="434" spans="220:220" x14ac:dyDescent="0.2">
      <c r="HL434" s="1">
        <f t="shared" ca="1" si="88"/>
        <v>417</v>
      </c>
    </row>
    <row r="435" spans="220:220" x14ac:dyDescent="0.2">
      <c r="HL435" s="1">
        <f t="shared" ca="1" si="88"/>
        <v>417</v>
      </c>
    </row>
    <row r="436" spans="220:220" x14ac:dyDescent="0.2">
      <c r="HL436" s="1">
        <f t="shared" ca="1" si="88"/>
        <v>417</v>
      </c>
    </row>
    <row r="437" spans="220:220" x14ac:dyDescent="0.2">
      <c r="HL437" s="1">
        <f t="shared" ca="1" si="88"/>
        <v>417</v>
      </c>
    </row>
    <row r="438" spans="220:220" x14ac:dyDescent="0.2">
      <c r="HL438" s="1">
        <f t="shared" ca="1" si="88"/>
        <v>417</v>
      </c>
    </row>
    <row r="439" spans="220:220" x14ac:dyDescent="0.2">
      <c r="HL439" s="1">
        <f t="shared" ca="1" si="88"/>
        <v>417</v>
      </c>
    </row>
    <row r="440" spans="220:220" x14ac:dyDescent="0.2">
      <c r="HL440" s="1">
        <f t="shared" ca="1" si="88"/>
        <v>417</v>
      </c>
    </row>
    <row r="441" spans="220:220" x14ac:dyDescent="0.2">
      <c r="HL441" s="1">
        <f t="shared" ca="1" si="88"/>
        <v>417</v>
      </c>
    </row>
    <row r="442" spans="220:220" x14ac:dyDescent="0.2">
      <c r="HL442" s="1">
        <f t="shared" ca="1" si="88"/>
        <v>417</v>
      </c>
    </row>
    <row r="443" spans="220:220" x14ac:dyDescent="0.2">
      <c r="HL443" s="1">
        <f t="shared" ca="1" si="88"/>
        <v>417</v>
      </c>
    </row>
    <row r="444" spans="220:220" x14ac:dyDescent="0.2">
      <c r="HL444" s="1">
        <f t="shared" ca="1" si="88"/>
        <v>417</v>
      </c>
    </row>
    <row r="445" spans="220:220" x14ac:dyDescent="0.2">
      <c r="HL445" s="1">
        <f t="shared" ca="1" si="88"/>
        <v>417</v>
      </c>
    </row>
    <row r="446" spans="220:220" x14ac:dyDescent="0.2">
      <c r="HL446" s="1">
        <f t="shared" ca="1" si="88"/>
        <v>417</v>
      </c>
    </row>
    <row r="447" spans="220:220" x14ac:dyDescent="0.2">
      <c r="HL447" s="1">
        <f t="shared" ca="1" si="88"/>
        <v>417</v>
      </c>
    </row>
    <row r="448" spans="220:220" x14ac:dyDescent="0.2">
      <c r="HL448" s="1">
        <f t="shared" ca="1" si="88"/>
        <v>417</v>
      </c>
    </row>
    <row r="449" spans="220:220" x14ac:dyDescent="0.2">
      <c r="HL449" s="1">
        <f t="shared" ca="1" si="88"/>
        <v>417</v>
      </c>
    </row>
    <row r="450" spans="220:220" x14ac:dyDescent="0.2">
      <c r="HL450" s="1">
        <f t="shared" ca="1" si="88"/>
        <v>417</v>
      </c>
    </row>
    <row r="451" spans="220:220" x14ac:dyDescent="0.2">
      <c r="HL451" s="1">
        <f t="shared" ca="1" si="88"/>
        <v>417</v>
      </c>
    </row>
    <row r="452" spans="220:220" x14ac:dyDescent="0.2">
      <c r="HL452" s="1">
        <f t="shared" ca="1" si="88"/>
        <v>417</v>
      </c>
    </row>
    <row r="453" spans="220:220" x14ac:dyDescent="0.2">
      <c r="HL453" s="1">
        <f t="shared" ref="HL453:HL516" ca="1" si="89">+IF(ISNUMBER(HG453),ROW(),HL452)</f>
        <v>417</v>
      </c>
    </row>
    <row r="454" spans="220:220" x14ac:dyDescent="0.2">
      <c r="HL454" s="1">
        <f t="shared" ca="1" si="89"/>
        <v>417</v>
      </c>
    </row>
    <row r="455" spans="220:220" x14ac:dyDescent="0.2">
      <c r="HL455" s="1">
        <f t="shared" ca="1" si="89"/>
        <v>417</v>
      </c>
    </row>
    <row r="456" spans="220:220" x14ac:dyDescent="0.2">
      <c r="HL456" s="1">
        <f t="shared" ca="1" si="89"/>
        <v>417</v>
      </c>
    </row>
    <row r="457" spans="220:220" x14ac:dyDescent="0.2">
      <c r="HL457" s="1">
        <f t="shared" ca="1" si="89"/>
        <v>417</v>
      </c>
    </row>
    <row r="458" spans="220:220" x14ac:dyDescent="0.2">
      <c r="HL458" s="1">
        <f t="shared" ca="1" si="89"/>
        <v>417</v>
      </c>
    </row>
    <row r="459" spans="220:220" x14ac:dyDescent="0.2">
      <c r="HL459" s="1">
        <f t="shared" ca="1" si="89"/>
        <v>417</v>
      </c>
    </row>
    <row r="460" spans="220:220" x14ac:dyDescent="0.2">
      <c r="HL460" s="1">
        <f t="shared" ca="1" si="89"/>
        <v>417</v>
      </c>
    </row>
    <row r="461" spans="220:220" x14ac:dyDescent="0.2">
      <c r="HL461" s="1">
        <f t="shared" ca="1" si="89"/>
        <v>417</v>
      </c>
    </row>
    <row r="462" spans="220:220" x14ac:dyDescent="0.2">
      <c r="HL462" s="1">
        <f t="shared" ca="1" si="89"/>
        <v>417</v>
      </c>
    </row>
    <row r="463" spans="220:220" x14ac:dyDescent="0.2">
      <c r="HL463" s="1">
        <f t="shared" ca="1" si="89"/>
        <v>417</v>
      </c>
    </row>
    <row r="464" spans="220:220" x14ac:dyDescent="0.2">
      <c r="HL464" s="1">
        <f t="shared" ca="1" si="89"/>
        <v>417</v>
      </c>
    </row>
    <row r="465" spans="220:220" x14ac:dyDescent="0.2">
      <c r="HL465" s="1">
        <f t="shared" ca="1" si="89"/>
        <v>417</v>
      </c>
    </row>
    <row r="466" spans="220:220" x14ac:dyDescent="0.2">
      <c r="HL466" s="1">
        <f t="shared" ca="1" si="89"/>
        <v>417</v>
      </c>
    </row>
    <row r="467" spans="220:220" x14ac:dyDescent="0.2">
      <c r="HL467" s="1">
        <f t="shared" ca="1" si="89"/>
        <v>417</v>
      </c>
    </row>
    <row r="468" spans="220:220" x14ac:dyDescent="0.2">
      <c r="HL468" s="1">
        <f t="shared" ca="1" si="89"/>
        <v>417</v>
      </c>
    </row>
    <row r="469" spans="220:220" x14ac:dyDescent="0.2">
      <c r="HL469" s="1">
        <f t="shared" ca="1" si="89"/>
        <v>417</v>
      </c>
    </row>
    <row r="470" spans="220:220" x14ac:dyDescent="0.2">
      <c r="HL470" s="1">
        <f t="shared" ca="1" si="89"/>
        <v>417</v>
      </c>
    </row>
    <row r="471" spans="220:220" x14ac:dyDescent="0.2">
      <c r="HL471" s="1">
        <f t="shared" ca="1" si="89"/>
        <v>417</v>
      </c>
    </row>
    <row r="472" spans="220:220" x14ac:dyDescent="0.2">
      <c r="HL472" s="1">
        <f t="shared" ca="1" si="89"/>
        <v>417</v>
      </c>
    </row>
    <row r="473" spans="220:220" x14ac:dyDescent="0.2">
      <c r="HL473" s="1">
        <f t="shared" ca="1" si="89"/>
        <v>417</v>
      </c>
    </row>
    <row r="474" spans="220:220" x14ac:dyDescent="0.2">
      <c r="HL474" s="1">
        <f t="shared" ca="1" si="89"/>
        <v>417</v>
      </c>
    </row>
    <row r="475" spans="220:220" x14ac:dyDescent="0.2">
      <c r="HL475" s="1">
        <f t="shared" ca="1" si="89"/>
        <v>417</v>
      </c>
    </row>
    <row r="476" spans="220:220" x14ac:dyDescent="0.2">
      <c r="HL476" s="1">
        <f t="shared" ca="1" si="89"/>
        <v>417</v>
      </c>
    </row>
    <row r="477" spans="220:220" x14ac:dyDescent="0.2">
      <c r="HL477" s="1">
        <f t="shared" ca="1" si="89"/>
        <v>417</v>
      </c>
    </row>
    <row r="478" spans="220:220" x14ac:dyDescent="0.2">
      <c r="HL478" s="1">
        <f t="shared" ca="1" si="89"/>
        <v>417</v>
      </c>
    </row>
    <row r="479" spans="220:220" x14ac:dyDescent="0.2">
      <c r="HL479" s="1">
        <f t="shared" ca="1" si="89"/>
        <v>417</v>
      </c>
    </row>
    <row r="480" spans="220:220" x14ac:dyDescent="0.2">
      <c r="HL480" s="1">
        <f t="shared" ca="1" si="89"/>
        <v>417</v>
      </c>
    </row>
    <row r="481" spans="220:220" x14ac:dyDescent="0.2">
      <c r="HL481" s="1">
        <f t="shared" ca="1" si="89"/>
        <v>417</v>
      </c>
    </row>
    <row r="482" spans="220:220" x14ac:dyDescent="0.2">
      <c r="HL482" s="1">
        <f t="shared" ca="1" si="89"/>
        <v>417</v>
      </c>
    </row>
    <row r="483" spans="220:220" x14ac:dyDescent="0.2">
      <c r="HL483" s="1">
        <f t="shared" ca="1" si="89"/>
        <v>417</v>
      </c>
    </row>
    <row r="484" spans="220:220" x14ac:dyDescent="0.2">
      <c r="HL484" s="1">
        <f t="shared" ca="1" si="89"/>
        <v>417</v>
      </c>
    </row>
    <row r="485" spans="220:220" x14ac:dyDescent="0.2">
      <c r="HL485" s="1">
        <f t="shared" ca="1" si="89"/>
        <v>417</v>
      </c>
    </row>
    <row r="486" spans="220:220" x14ac:dyDescent="0.2">
      <c r="HL486" s="1">
        <f t="shared" ca="1" si="89"/>
        <v>417</v>
      </c>
    </row>
    <row r="487" spans="220:220" x14ac:dyDescent="0.2">
      <c r="HL487" s="1">
        <f t="shared" ca="1" si="89"/>
        <v>417</v>
      </c>
    </row>
    <row r="488" spans="220:220" x14ac:dyDescent="0.2">
      <c r="HL488" s="1">
        <f t="shared" ca="1" si="89"/>
        <v>417</v>
      </c>
    </row>
    <row r="489" spans="220:220" x14ac:dyDescent="0.2">
      <c r="HL489" s="1">
        <f t="shared" ca="1" si="89"/>
        <v>417</v>
      </c>
    </row>
    <row r="490" spans="220:220" x14ac:dyDescent="0.2">
      <c r="HL490" s="1">
        <f t="shared" ca="1" si="89"/>
        <v>417</v>
      </c>
    </row>
    <row r="491" spans="220:220" x14ac:dyDescent="0.2">
      <c r="HL491" s="1">
        <f t="shared" ca="1" si="89"/>
        <v>417</v>
      </c>
    </row>
    <row r="492" spans="220:220" x14ac:dyDescent="0.2">
      <c r="HL492" s="1">
        <f t="shared" ca="1" si="89"/>
        <v>417</v>
      </c>
    </row>
    <row r="493" spans="220:220" x14ac:dyDescent="0.2">
      <c r="HL493" s="1">
        <f t="shared" ca="1" si="89"/>
        <v>417</v>
      </c>
    </row>
    <row r="494" spans="220:220" x14ac:dyDescent="0.2">
      <c r="HL494" s="1">
        <f t="shared" ca="1" si="89"/>
        <v>417</v>
      </c>
    </row>
    <row r="495" spans="220:220" x14ac:dyDescent="0.2">
      <c r="HL495" s="1">
        <f t="shared" ca="1" si="89"/>
        <v>417</v>
      </c>
    </row>
    <row r="496" spans="220:220" x14ac:dyDescent="0.2">
      <c r="HL496" s="1">
        <f t="shared" ca="1" si="89"/>
        <v>417</v>
      </c>
    </row>
    <row r="497" spans="220:220" x14ac:dyDescent="0.2">
      <c r="HL497" s="1">
        <f t="shared" ca="1" si="89"/>
        <v>417</v>
      </c>
    </row>
    <row r="498" spans="220:220" x14ac:dyDescent="0.2">
      <c r="HL498" s="1">
        <f t="shared" ca="1" si="89"/>
        <v>417</v>
      </c>
    </row>
    <row r="499" spans="220:220" x14ac:dyDescent="0.2">
      <c r="HL499" s="1">
        <f t="shared" ca="1" si="89"/>
        <v>417</v>
      </c>
    </row>
    <row r="500" spans="220:220" x14ac:dyDescent="0.2">
      <c r="HL500" s="1">
        <f t="shared" ca="1" si="89"/>
        <v>417</v>
      </c>
    </row>
    <row r="501" spans="220:220" x14ac:dyDescent="0.2">
      <c r="HL501" s="1">
        <f t="shared" ca="1" si="89"/>
        <v>417</v>
      </c>
    </row>
    <row r="502" spans="220:220" x14ac:dyDescent="0.2">
      <c r="HL502" s="1">
        <f t="shared" ca="1" si="89"/>
        <v>417</v>
      </c>
    </row>
    <row r="503" spans="220:220" x14ac:dyDescent="0.2">
      <c r="HL503" s="1">
        <f t="shared" ca="1" si="89"/>
        <v>417</v>
      </c>
    </row>
    <row r="504" spans="220:220" x14ac:dyDescent="0.2">
      <c r="HL504" s="1">
        <f t="shared" ca="1" si="89"/>
        <v>417</v>
      </c>
    </row>
    <row r="505" spans="220:220" x14ac:dyDescent="0.2">
      <c r="HL505" s="1">
        <f t="shared" ca="1" si="89"/>
        <v>417</v>
      </c>
    </row>
    <row r="506" spans="220:220" x14ac:dyDescent="0.2">
      <c r="HL506" s="1">
        <f t="shared" ca="1" si="89"/>
        <v>417</v>
      </c>
    </row>
    <row r="507" spans="220:220" x14ac:dyDescent="0.2">
      <c r="HL507" s="1">
        <f t="shared" ca="1" si="89"/>
        <v>417</v>
      </c>
    </row>
    <row r="508" spans="220:220" x14ac:dyDescent="0.2">
      <c r="HL508" s="1">
        <f t="shared" ca="1" si="89"/>
        <v>417</v>
      </c>
    </row>
    <row r="509" spans="220:220" x14ac:dyDescent="0.2">
      <c r="HL509" s="1">
        <f t="shared" ca="1" si="89"/>
        <v>417</v>
      </c>
    </row>
    <row r="510" spans="220:220" x14ac:dyDescent="0.2">
      <c r="HL510" s="1">
        <f t="shared" ca="1" si="89"/>
        <v>417</v>
      </c>
    </row>
    <row r="511" spans="220:220" x14ac:dyDescent="0.2">
      <c r="HL511" s="1">
        <f t="shared" ca="1" si="89"/>
        <v>417</v>
      </c>
    </row>
    <row r="512" spans="220:220" x14ac:dyDescent="0.2">
      <c r="HL512" s="1">
        <f t="shared" ca="1" si="89"/>
        <v>417</v>
      </c>
    </row>
    <row r="513" spans="220:220" x14ac:dyDescent="0.2">
      <c r="HL513" s="1">
        <f t="shared" ca="1" si="89"/>
        <v>417</v>
      </c>
    </row>
    <row r="514" spans="220:220" x14ac:dyDescent="0.2">
      <c r="HL514" s="1">
        <f t="shared" ca="1" si="89"/>
        <v>417</v>
      </c>
    </row>
    <row r="515" spans="220:220" x14ac:dyDescent="0.2">
      <c r="HL515" s="1">
        <f t="shared" ca="1" si="89"/>
        <v>417</v>
      </c>
    </row>
    <row r="516" spans="220:220" x14ac:dyDescent="0.2">
      <c r="HL516" s="1">
        <f t="shared" ca="1" si="89"/>
        <v>417</v>
      </c>
    </row>
    <row r="517" spans="220:220" x14ac:dyDescent="0.2">
      <c r="HL517" s="1">
        <f t="shared" ref="HL517" ca="1" si="90">+IF(ISNUMBER(HG517),ROW(),HL516)</f>
        <v>417</v>
      </c>
    </row>
  </sheetData>
  <mergeCells count="4">
    <mergeCell ref="H1:N1"/>
    <mergeCell ref="O1:Z1"/>
    <mergeCell ref="AA1:BR1"/>
    <mergeCell ref="BS1:DS1"/>
  </mergeCells>
  <conditionalFormatting sqref="A1:A1048576 A35:C41">
    <cfRule type="containsText" dxfId="6" priority="1" operator="containsText" text="Tarjet">
      <formula>NOT(ISERROR(SEARCH("Tarjet",A1)))</formula>
    </cfRule>
  </conditionalFormatting>
  <conditionalFormatting sqref="A37">
    <cfRule type="expression" dxfId="5" priority="2">
      <formula>IF(A37=DAY(TODAY()),TRUE,FALSE)</formula>
    </cfRule>
  </conditionalFormatting>
  <conditionalFormatting sqref="A35:C41 A1:A36 A38:A1048576">
    <cfRule type="containsText" dxfId="4" priority="3" operator="containsText" text="presta">
      <formula>NOT(ISERROR(SEARCH("presta",A1)))</formula>
    </cfRule>
  </conditionalFormatting>
  <conditionalFormatting sqref="B1:B1048576">
    <cfRule type="expression" dxfId="3" priority="4">
      <formula>IF(B1=DAY(TODAY()),TRUE,FALSE)</formula>
    </cfRule>
  </conditionalFormatting>
  <dataValidations disablePrompts="1" count="1">
    <dataValidation type="list" allowBlank="1" showInputMessage="1" showErrorMessage="1" sqref="A2 HG417 HG379 HG341 HG303 HG265 HG227 HG189 HG151 HG113 HG76 HG40 HG3" xr:uid="{ABB3354B-1D95-4E21-A2EF-DE59FAA02826}">
      <formula1>$FF$4:$FF$48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C234-5D9D-4754-BF3A-4DC3C4BCCBE4}">
  <sheetPr codeName="Hoja2"/>
  <dimension ref="A1:AJ620"/>
  <sheetViews>
    <sheetView showGridLines="0" tabSelected="1" topLeftCell="J1" zoomScaleNormal="100" workbookViewId="0">
      <pane ySplit="2" topLeftCell="A219" activePane="bottomLeft" state="frozen"/>
      <selection pane="bottomLeft" activeCell="S250" sqref="S250"/>
    </sheetView>
  </sheetViews>
  <sheetFormatPr baseColWidth="10" defaultColWidth="11.42578125" defaultRowHeight="18" outlineLevelCol="2" x14ac:dyDescent="0.25"/>
  <cols>
    <col min="1" max="1" width="12.28515625" style="70" hidden="1" customWidth="1" outlineLevel="2"/>
    <col min="2" max="2" width="12.7109375" style="70" hidden="1" customWidth="1" outlineLevel="2"/>
    <col min="3" max="3" width="16.42578125" style="70" hidden="1" customWidth="1" outlineLevel="2"/>
    <col min="4" max="4" width="3.7109375" style="78" hidden="1" customWidth="1" outlineLevel="2"/>
    <col min="5" max="5" width="11.7109375" style="78" hidden="1" customWidth="1" outlineLevel="2"/>
    <col min="6" max="6" width="29.28515625" style="78" hidden="1" customWidth="1" outlineLevel="2"/>
    <col min="7" max="7" width="13.7109375" style="78" hidden="1" customWidth="1" outlineLevel="2"/>
    <col min="8" max="8" width="16.28515625" style="78" hidden="1" customWidth="1" outlineLevel="2"/>
    <col min="9" max="9" width="13.28515625" style="78" hidden="1" customWidth="1" outlineLevel="2"/>
    <col min="10" max="10" width="2.7109375" style="78" customWidth="1" outlineLevel="1" collapsed="1"/>
    <col min="11" max="11" width="11.7109375" style="78" customWidth="1" outlineLevel="1"/>
    <col min="12" max="12" width="23" style="78" customWidth="1" outlineLevel="1"/>
    <col min="13" max="13" width="17" style="78" customWidth="1" outlineLevel="1"/>
    <col min="14" max="14" width="13.28515625" style="78" customWidth="1" outlineLevel="1"/>
    <col min="15" max="15" width="1.28515625" style="78" customWidth="1" outlineLevel="1"/>
    <col min="16" max="16" width="9.85546875" style="78" customWidth="1" outlineLevel="1"/>
    <col min="17" max="17" width="22.7109375" style="78" customWidth="1" outlineLevel="1"/>
    <col min="18" max="18" width="14.5703125" style="78" customWidth="1" outlineLevel="1"/>
    <col min="19" max="19" width="13.42578125" style="78" customWidth="1" outlineLevel="1"/>
    <col min="20" max="20" width="1.28515625" style="78" customWidth="1"/>
    <col min="21" max="21" width="13.140625" style="3" customWidth="1"/>
    <col min="22" max="22" width="27.140625" style="1" bestFit="1" customWidth="1"/>
    <col min="23" max="23" width="15.7109375" style="93" bestFit="1" customWidth="1"/>
    <col min="24" max="24" width="17.42578125" style="1" customWidth="1"/>
    <col min="25" max="25" width="6.85546875" style="72" bestFit="1" customWidth="1"/>
    <col min="26" max="26" width="1.28515625" style="78" customWidth="1"/>
    <col min="27" max="27" width="11.42578125" style="78"/>
    <col min="28" max="28" width="20.7109375" style="78" customWidth="1"/>
    <col min="29" max="29" width="7.85546875" style="78" customWidth="1"/>
    <col min="30" max="30" width="13.5703125" style="78" hidden="1" customWidth="1"/>
    <col min="31" max="33" width="11.42578125" style="78"/>
    <col min="34" max="34" width="15.7109375" style="78" bestFit="1" customWidth="1"/>
    <col min="35" max="35" width="11.42578125" style="78"/>
    <col min="36" max="36" width="13.7109375" style="78" bestFit="1" customWidth="1"/>
    <col min="37" max="16384" width="11.42578125" style="78"/>
  </cols>
  <sheetData>
    <row r="1" spans="1:36" s="66" customFormat="1" ht="18.75" thickBot="1" x14ac:dyDescent="0.3">
      <c r="E1" s="157" t="s">
        <v>89</v>
      </c>
      <c r="F1" s="158"/>
      <c r="G1" s="158"/>
      <c r="H1" s="158"/>
      <c r="I1" s="159"/>
      <c r="K1" s="146" t="s">
        <v>92</v>
      </c>
      <c r="L1" s="147"/>
      <c r="M1" s="147"/>
      <c r="N1" s="148"/>
      <c r="P1" s="146" t="s">
        <v>93</v>
      </c>
      <c r="Q1" s="147"/>
      <c r="R1" s="147"/>
      <c r="S1" s="148"/>
      <c r="U1" s="143" t="s">
        <v>100</v>
      </c>
      <c r="V1" s="144"/>
      <c r="W1" s="144"/>
      <c r="X1" s="145"/>
      <c r="Y1" s="67"/>
      <c r="AA1" s="155" t="s">
        <v>139</v>
      </c>
      <c r="AB1" s="156"/>
      <c r="AC1" s="68" t="s">
        <v>101</v>
      </c>
      <c r="AE1" s="68" t="s">
        <v>102</v>
      </c>
      <c r="AH1" s="69">
        <v>46023</v>
      </c>
      <c r="AJ1" s="66" t="s">
        <v>255</v>
      </c>
    </row>
    <row r="2" spans="1:36" s="70" customFormat="1" x14ac:dyDescent="0.25">
      <c r="E2" s="70" t="s">
        <v>81</v>
      </c>
      <c r="F2" s="70" t="s">
        <v>85</v>
      </c>
      <c r="G2" s="70" t="s">
        <v>86</v>
      </c>
      <c r="H2" s="70" t="s">
        <v>87</v>
      </c>
      <c r="I2" s="70" t="s">
        <v>88</v>
      </c>
      <c r="K2" s="71" t="s">
        <v>81</v>
      </c>
      <c r="L2" s="71" t="s">
        <v>91</v>
      </c>
      <c r="M2" s="71" t="s">
        <v>245</v>
      </c>
      <c r="N2" s="71" t="s">
        <v>90</v>
      </c>
      <c r="P2" s="71" t="s">
        <v>81</v>
      </c>
      <c r="Q2" s="71" t="s">
        <v>85</v>
      </c>
      <c r="R2" s="71" t="s">
        <v>245</v>
      </c>
      <c r="S2" s="71" t="s">
        <v>90</v>
      </c>
      <c r="U2" s="88" t="s">
        <v>81</v>
      </c>
      <c r="V2" s="89" t="s">
        <v>85</v>
      </c>
      <c r="W2" s="90" t="s">
        <v>90</v>
      </c>
      <c r="X2" s="90" t="s">
        <v>96</v>
      </c>
      <c r="Y2" s="72"/>
      <c r="AA2" s="73" t="s">
        <v>98</v>
      </c>
      <c r="AB2" s="74" t="s">
        <v>99</v>
      </c>
      <c r="AC2" s="75">
        <v>5</v>
      </c>
      <c r="AD2" s="76">
        <v>45962</v>
      </c>
      <c r="AE2" s="75">
        <v>2026</v>
      </c>
      <c r="AG2" s="77" t="s">
        <v>103</v>
      </c>
      <c r="AH2" s="77" t="s">
        <v>99</v>
      </c>
    </row>
    <row r="3" spans="1:36" ht="15" x14ac:dyDescent="0.25">
      <c r="E3" s="79">
        <v>45964</v>
      </c>
      <c r="F3" s="78" t="s">
        <v>55</v>
      </c>
      <c r="G3" s="78">
        <v>654000</v>
      </c>
      <c r="H3" s="78">
        <v>311</v>
      </c>
      <c r="I3" s="78" t="s">
        <v>48</v>
      </c>
      <c r="K3" s="80">
        <v>46021</v>
      </c>
      <c r="L3" s="78" t="s">
        <v>94</v>
      </c>
      <c r="M3" s="115"/>
      <c r="N3" s="110">
        <v>333500</v>
      </c>
      <c r="P3" s="80">
        <v>46021</v>
      </c>
      <c r="Q3" s="78" t="s">
        <v>95</v>
      </c>
      <c r="R3" s="115"/>
      <c r="S3" s="99">
        <f t="shared" ref="S3" si="0">4500+12000+4000</f>
        <v>20500</v>
      </c>
      <c r="U3" s="23" cm="1">
        <f t="array" ref="U3:X17">_xlfn.LET(
 _xlpm.s,CHOOSE({1,2,3,4},Sueldos2[Fecha],Sueldos2[Detalle],Sueldos2[Valor],"Sueldos"),
 _xlpm.f,CHOOSE({1,2,3,4},GFijos[Fecha],GFijos[Concepto],GFijos[Monto $],"GFijos"),
 _xlpm.m,CHOOSE({1,2,3,4},Mercaderia[Fecha],Mercaderia[Proveedor],Mercaderia[Importe],"Mercaderia"),
 _xlpm.v,CHOOSE({1,2,3,4},GVarios[Fecha],GVarios[Concepto],GVarios[Importe],"GVarios"),
 _xlpm.bd,_xlfn.VSTACK(_xlpm.s,_xlpm.f,_xlpm.m,_xlpm.v),
 _xlpm.ini,DATE($AE$2,$AC$2,1),
 _xlpm.fin,EDATE(_xlpm.ini,1),
 _xlfn._xlws.SORT(_xlfn._xlws.FILTER(_xlpm.bd,(INDEX(_xlpm.bd,,1)&gt;=_xlpm.ini)*(INDEX(_xlpm.bd,,1)&lt;_xlpm.fin)),1,1)
)</f>
        <v>46143</v>
      </c>
      <c r="V3" s="1" t="str">
        <v>Sueldos</v>
      </c>
      <c r="W3" s="119">
        <v>3404424</v>
      </c>
      <c r="X3" s="92" t="str">
        <v>Sueldos</v>
      </c>
      <c r="Y3" s="82">
        <f t="shared" ref="Y3" si="1">IF(W3="",0,W3/$AB$7)</f>
        <v>0.24409045378665845</v>
      </c>
      <c r="AA3" s="94" t="str" cm="1">
        <f t="array" ref="AA3:AA5">_xlfn._xlws.FILTER(_xlfn.UNIQUE(X3:X5001),_xlfn.UNIQUE(X3:X5001)&lt;&gt;0)</f>
        <v>Sueldos</v>
      </c>
      <c r="AB3" s="95">
        <f>+SUMIFS($W$3:W5001,$X$3:X5001,AA3)</f>
        <v>3404424</v>
      </c>
      <c r="AC3" s="98">
        <f t="shared" ref="AC3:AC6" si="2">+AB3/$AB$7</f>
        <v>0.24409045378665845</v>
      </c>
      <c r="AD3" s="76">
        <f>+EDATE(AD2,1)</f>
        <v>45992</v>
      </c>
      <c r="AG3" s="79" t="str" cm="1">
        <f t="array" ref="AG3:AH14">_xlfn.LET(
 _xlpm.s,CHOOSE({1,2,3,4},Sueldos[Fecha],Sueldos[Detalle],Sueldos[Valor],"Sueldos"),
 _xlpm.f,CHOOSE({1,2,3,4},GFijos[Fecha],GFijos[Concepto],GFijos[Monto $],"GFijos"),
 _xlpm.m,CHOOSE({1,2,3,4},Mercaderia[Fecha],Mercaderia[Proveedor],Mercaderia[Importe],"Mercaderia"),
 _xlpm.v,CHOOSE({1,2,3,4},GVarios[Fecha],GVarios[Concepto],GVarios[Importe],"GVarios"),
 _xlpm.bd,_xlfn.VSTACK(_xlpm.s,_xlpm.f,_xlpm.m,_xlpm.v),
 _xlpm.año,YEAR($AH$1),
 _xlpm.fechas,INDEX(_xlpm.bd,,1),
 _xlpm.importes,INDEX(_xlpm.bd,,3),
 _xlpm.meses,_xlfn.SEQUENCE(12),
 _xlpm.tot,_xlfn.MAP(_xlpm.meses,_xlfn.LAMBDA(_xlpm.mm,
   SUM(_xlfn._xlws.FILTER(_xlpm.importes,(YEAR(_xlpm.fechas)=_xlpm.año)*(MONTH(_xlpm.fechas)=_xlpm.mm)))
 )),
 _xlfn.HSTACK(TEXT(DATE(_xlpm.año,_xlpm.meses,1),"mmmm"),_xlpm.tot)
)</f>
        <v>enero</v>
      </c>
      <c r="AH3" s="81">
        <v>59761452.604999997</v>
      </c>
    </row>
    <row r="4" spans="1:36" ht="15" x14ac:dyDescent="0.25">
      <c r="E4" s="79">
        <v>45967</v>
      </c>
      <c r="F4" s="78" t="s">
        <v>70</v>
      </c>
      <c r="G4" s="78">
        <v>715843.25</v>
      </c>
      <c r="I4" s="78" t="s">
        <v>48</v>
      </c>
      <c r="K4" s="80">
        <v>46020</v>
      </c>
      <c r="L4" s="78" t="s">
        <v>104</v>
      </c>
      <c r="M4" s="115"/>
      <c r="N4" s="110">
        <v>20000</v>
      </c>
      <c r="P4" s="80">
        <v>46024</v>
      </c>
      <c r="Q4" s="78" t="s">
        <v>105</v>
      </c>
      <c r="R4" s="115"/>
      <c r="S4" s="99">
        <v>40000</v>
      </c>
      <c r="U4" s="23">
        <v>46143</v>
      </c>
      <c r="V4" s="1" t="str">
        <v>IIBB Abril/26</v>
      </c>
      <c r="W4" s="132">
        <v>631404.27</v>
      </c>
      <c r="X4" s="92" t="str">
        <v>GVarios</v>
      </c>
      <c r="Y4" s="82"/>
      <c r="AA4" s="94" t="str">
        <v>GVarios</v>
      </c>
      <c r="AB4" s="95">
        <f>+SUMIFS($W$3:W5002,$X$3:X5002,AA4)</f>
        <v>1001404.27</v>
      </c>
      <c r="AC4" s="98">
        <f t="shared" si="2"/>
        <v>7.1798701538996743E-2</v>
      </c>
      <c r="AD4" s="76">
        <f t="shared" ref="AD4:AD17" si="3">+EDATE(AD3,1)</f>
        <v>46023</v>
      </c>
      <c r="AG4" s="79" t="str">
        <v>febrero</v>
      </c>
      <c r="AH4" s="81">
        <v>74152681.819412157</v>
      </c>
    </row>
    <row r="5" spans="1:36" ht="15" x14ac:dyDescent="0.25">
      <c r="E5" s="79">
        <v>45968</v>
      </c>
      <c r="F5" s="78" t="s">
        <v>54</v>
      </c>
      <c r="G5" s="78">
        <v>0.01</v>
      </c>
      <c r="H5" s="78">
        <v>1667.61</v>
      </c>
      <c r="I5" s="78" t="s">
        <v>48</v>
      </c>
      <c r="K5" s="80">
        <v>46024</v>
      </c>
      <c r="L5" s="78" t="s">
        <v>104</v>
      </c>
      <c r="M5" s="115"/>
      <c r="N5" s="110">
        <v>130000</v>
      </c>
      <c r="P5" s="80">
        <v>46025</v>
      </c>
      <c r="Q5" s="78" t="s">
        <v>106</v>
      </c>
      <c r="R5" s="115"/>
      <c r="S5" s="99">
        <v>450000</v>
      </c>
      <c r="U5" s="23">
        <v>46146</v>
      </c>
      <c r="V5" s="1" t="str">
        <v>Endosado ALNAT</v>
      </c>
      <c r="W5" s="91">
        <v>1513329.65</v>
      </c>
      <c r="X5" s="92" t="str">
        <v>Mercaderia</v>
      </c>
      <c r="Y5" s="82"/>
      <c r="AA5" s="94" t="str">
        <v>Mercaderia</v>
      </c>
      <c r="AB5" s="95">
        <f>+SUMIFS($W$3:W5003,$X$3:X5003,AA5)</f>
        <v>9541558.6400000006</v>
      </c>
      <c r="AC5" s="98">
        <f t="shared" si="2"/>
        <v>0.6841108446743448</v>
      </c>
      <c r="AD5" s="76">
        <f t="shared" si="3"/>
        <v>46054</v>
      </c>
      <c r="AG5" s="79" t="str">
        <v>marzo</v>
      </c>
      <c r="AH5" s="81">
        <v>68509162.898999989</v>
      </c>
    </row>
    <row r="6" spans="1:36" ht="15.75" thickBot="1" x14ac:dyDescent="0.3">
      <c r="E6" s="79">
        <v>45968</v>
      </c>
      <c r="F6" s="78" t="s">
        <v>38</v>
      </c>
      <c r="G6" s="78">
        <v>40577.730000000003</v>
      </c>
      <c r="I6" s="78" t="s">
        <v>48</v>
      </c>
      <c r="K6" s="80">
        <v>46027</v>
      </c>
      <c r="L6" s="78" t="s">
        <v>109</v>
      </c>
      <c r="M6" s="115"/>
      <c r="N6" s="110">
        <v>97440</v>
      </c>
      <c r="P6" s="80">
        <v>46025</v>
      </c>
      <c r="Q6" s="78" t="s">
        <v>107</v>
      </c>
      <c r="R6" s="115"/>
      <c r="S6" s="99">
        <v>325000</v>
      </c>
      <c r="U6" s="23">
        <v>46146</v>
      </c>
      <c r="V6" s="1" t="str">
        <v>Maderas Brito</v>
      </c>
      <c r="W6" s="4">
        <v>80000</v>
      </c>
      <c r="X6" s="92" t="str">
        <v>Mercaderia</v>
      </c>
      <c r="Y6" s="82"/>
      <c r="AA6" s="96"/>
      <c r="AB6" s="97">
        <f>+SUMIFS($W$3:W5004,$X$3:X5004,AA6)</f>
        <v>0</v>
      </c>
      <c r="AC6" s="98">
        <f t="shared" si="2"/>
        <v>0</v>
      </c>
      <c r="AD6" s="76">
        <f t="shared" si="3"/>
        <v>46082</v>
      </c>
      <c r="AG6" s="79" t="str">
        <v>abril</v>
      </c>
      <c r="AH6" s="81">
        <v>60691472.420000002</v>
      </c>
    </row>
    <row r="7" spans="1:36" ht="15.75" thickBot="1" x14ac:dyDescent="0.3">
      <c r="E7" s="79">
        <v>45968</v>
      </c>
      <c r="F7" s="78" t="s">
        <v>20</v>
      </c>
      <c r="G7" s="78">
        <v>80540.72</v>
      </c>
      <c r="I7" s="78" t="s">
        <v>48</v>
      </c>
      <c r="K7" s="80">
        <v>46027</v>
      </c>
      <c r="L7" s="78" t="s">
        <v>110</v>
      </c>
      <c r="M7" s="115"/>
      <c r="N7" s="110">
        <v>160000</v>
      </c>
      <c r="P7" s="80">
        <v>46023</v>
      </c>
      <c r="Q7" s="78" t="s">
        <v>108</v>
      </c>
      <c r="R7" s="115"/>
      <c r="S7" s="99">
        <v>45353</v>
      </c>
      <c r="U7" s="23">
        <v>46146</v>
      </c>
      <c r="V7" s="1" t="str">
        <v>Fader Plastic</v>
      </c>
      <c r="W7" s="119">
        <v>285000</v>
      </c>
      <c r="X7" s="92" t="str">
        <v>Mercaderia</v>
      </c>
      <c r="Y7" s="82"/>
      <c r="AA7" s="83" t="s">
        <v>97</v>
      </c>
      <c r="AB7" s="100">
        <f>+SUM(AB3:AB6)</f>
        <v>13947386.91</v>
      </c>
      <c r="AD7" s="76">
        <f t="shared" si="3"/>
        <v>46113</v>
      </c>
      <c r="AG7" s="79" t="str">
        <v>mayo</v>
      </c>
      <c r="AH7" s="81">
        <v>13947386.91</v>
      </c>
    </row>
    <row r="8" spans="1:36" ht="15" x14ac:dyDescent="0.25">
      <c r="E8" s="79">
        <v>45970</v>
      </c>
      <c r="F8" s="78" t="s">
        <v>21</v>
      </c>
      <c r="G8" s="78">
        <v>733106</v>
      </c>
      <c r="I8" s="78" t="s">
        <v>48</v>
      </c>
      <c r="K8" s="80">
        <v>46028</v>
      </c>
      <c r="L8" s="78" t="s">
        <v>116</v>
      </c>
      <c r="M8" s="115"/>
      <c r="N8" s="110">
        <v>52030</v>
      </c>
      <c r="P8" s="80">
        <v>46027</v>
      </c>
      <c r="Q8" s="78" t="s">
        <v>95</v>
      </c>
      <c r="R8" s="115"/>
      <c r="S8" s="99">
        <v>16000</v>
      </c>
      <c r="U8" s="23">
        <v>46146</v>
      </c>
      <c r="V8" s="1" t="str">
        <v>REGAPLAS</v>
      </c>
      <c r="W8" s="119">
        <v>396300</v>
      </c>
      <c r="X8" s="92" t="str">
        <v>Mercaderia</v>
      </c>
      <c r="Y8" s="82"/>
      <c r="AD8" s="76">
        <f t="shared" si="3"/>
        <v>46143</v>
      </c>
      <c r="AG8" s="79" t="str">
        <v>junio</v>
      </c>
      <c r="AH8" s="81" t="e" vm="1">
        <v>#VALUE!</v>
      </c>
    </row>
    <row r="9" spans="1:36" ht="15" x14ac:dyDescent="0.25">
      <c r="E9" s="79">
        <v>45971</v>
      </c>
      <c r="F9" s="78" t="s">
        <v>58</v>
      </c>
      <c r="G9" s="78">
        <v>40750</v>
      </c>
      <c r="I9" s="78" t="s">
        <v>48</v>
      </c>
      <c r="K9" s="80">
        <v>46028</v>
      </c>
      <c r="L9" s="78" t="s">
        <v>114</v>
      </c>
      <c r="M9" s="115"/>
      <c r="N9" s="110">
        <v>33500</v>
      </c>
      <c r="P9" s="80">
        <v>46027</v>
      </c>
      <c r="Q9" s="78" t="s">
        <v>111</v>
      </c>
      <c r="R9" s="115"/>
      <c r="S9" s="99">
        <v>56000</v>
      </c>
      <c r="U9" s="23">
        <v>46146</v>
      </c>
      <c r="V9" s="1" t="str">
        <v>E-che Rebotado</v>
      </c>
      <c r="W9" s="91">
        <v>280000</v>
      </c>
      <c r="X9" s="92" t="str">
        <v>GVarios</v>
      </c>
      <c r="Y9" s="82"/>
      <c r="AD9" s="76">
        <f t="shared" si="3"/>
        <v>46174</v>
      </c>
      <c r="AG9" s="79" t="str">
        <v>julio</v>
      </c>
      <c r="AH9" s="81" t="e" vm="1">
        <v>#VALUE!</v>
      </c>
    </row>
    <row r="10" spans="1:36" ht="15" x14ac:dyDescent="0.25">
      <c r="E10" s="79">
        <v>45971</v>
      </c>
      <c r="F10" s="78" t="s">
        <v>13</v>
      </c>
      <c r="G10" s="78">
        <v>500000</v>
      </c>
      <c r="I10" s="78" t="s">
        <v>48</v>
      </c>
      <c r="K10" s="80">
        <v>46028</v>
      </c>
      <c r="L10" s="78" t="s">
        <v>117</v>
      </c>
      <c r="M10" s="115"/>
      <c r="N10" s="110">
        <v>423000</v>
      </c>
      <c r="P10" s="80">
        <v>46027</v>
      </c>
      <c r="Q10" s="78" t="s">
        <v>105</v>
      </c>
      <c r="R10" s="115"/>
      <c r="S10" s="99">
        <v>40000</v>
      </c>
      <c r="U10" s="23">
        <v>46146</v>
      </c>
      <c r="V10" s="1" t="str">
        <v>NUTHOST - Hosting</v>
      </c>
      <c r="W10" s="91">
        <v>90000</v>
      </c>
      <c r="X10" s="92" t="str">
        <v>GVarios</v>
      </c>
      <c r="Y10" s="82"/>
      <c r="AA10" s="78" t="s">
        <v>135</v>
      </c>
      <c r="AB10" s="81">
        <f>+SUMIFS(W2:W500,U2:U500,"&gt;="&amp;TEXT("01-"&amp;AC2&amp;"-"&amp;AE2,"dd-mm-yy"),U2:U500,"&lt;"&amp;TEXT("01-"&amp;AC2+1&amp;"-"&amp;AE2,"dd-mm-yy"),V2:V500,"*"&amp;AA10&amp;"*")</f>
        <v>0</v>
      </c>
      <c r="AD10" s="76">
        <f t="shared" si="3"/>
        <v>46204</v>
      </c>
      <c r="AG10" s="79" t="str">
        <v>agosto</v>
      </c>
      <c r="AH10" s="81" t="e" vm="1">
        <v>#VALUE!</v>
      </c>
    </row>
    <row r="11" spans="1:36" ht="15" x14ac:dyDescent="0.25">
      <c r="E11" s="79">
        <v>45971</v>
      </c>
      <c r="F11" s="78" t="s">
        <v>14</v>
      </c>
      <c r="G11" s="78">
        <v>250000</v>
      </c>
      <c r="I11" s="78" t="s">
        <v>48</v>
      </c>
      <c r="K11" s="80">
        <v>46029</v>
      </c>
      <c r="L11" s="78" t="s">
        <v>121</v>
      </c>
      <c r="M11" s="115"/>
      <c r="N11" s="110">
        <v>528000</v>
      </c>
      <c r="P11" s="80">
        <v>46027</v>
      </c>
      <c r="Q11" s="78" t="s">
        <v>112</v>
      </c>
      <c r="R11" s="115"/>
      <c r="S11" s="99">
        <v>92039</v>
      </c>
      <c r="U11" s="23">
        <v>46149</v>
      </c>
      <c r="V11" s="1" t="str">
        <v>Endosado ALNAT</v>
      </c>
      <c r="W11" s="91">
        <v>919720.09</v>
      </c>
      <c r="X11" s="92" t="str">
        <v>Mercaderia</v>
      </c>
      <c r="Y11" s="82"/>
      <c r="AA11" s="78" t="s">
        <v>267</v>
      </c>
      <c r="AB11" s="81">
        <f>+SUMIFS(W2:W500,U2:U500,"&gt;="&amp;TEXT("01-"&amp;AC2&amp;"-"&amp;AE2,"dd-mm-yy"),U2:U500,"&lt;"&amp;TEXT("01-"&amp;AC2+1&amp;"-"&amp;AE2,"dd-mm-yy"),V2:V500,"*"&amp;AA11&amp;"*")</f>
        <v>0</v>
      </c>
      <c r="AD11" s="76">
        <f t="shared" si="3"/>
        <v>46235</v>
      </c>
      <c r="AE11" s="78" t="s">
        <v>296</v>
      </c>
      <c r="AG11" s="79" t="str">
        <v>septiembre</v>
      </c>
      <c r="AH11" s="81" t="e" vm="1">
        <v>#VALUE!</v>
      </c>
    </row>
    <row r="12" spans="1:36" ht="15" x14ac:dyDescent="0.25">
      <c r="E12" s="79">
        <v>45971</v>
      </c>
      <c r="F12" s="78" t="s">
        <v>15</v>
      </c>
      <c r="G12" s="78">
        <v>450000</v>
      </c>
      <c r="I12" s="78" t="s">
        <v>48</v>
      </c>
      <c r="K12" s="80">
        <v>46029</v>
      </c>
      <c r="L12" s="78" t="s">
        <v>123</v>
      </c>
      <c r="M12" s="115"/>
      <c r="N12" s="110">
        <v>84000</v>
      </c>
      <c r="P12" s="80">
        <v>46027</v>
      </c>
      <c r="Q12" s="78" t="s">
        <v>113</v>
      </c>
      <c r="R12" s="115"/>
      <c r="S12" s="99">
        <v>7000</v>
      </c>
      <c r="U12" s="23">
        <v>46155</v>
      </c>
      <c r="V12" s="1" t="str">
        <v>Endosado ALU-MAQ</v>
      </c>
      <c r="W12" s="91">
        <v>564841.93000000005</v>
      </c>
      <c r="X12" s="92" t="str">
        <v>Mercaderia</v>
      </c>
      <c r="Y12" s="82"/>
      <c r="AB12" s="149">
        <f>+AB10+AB11</f>
        <v>0</v>
      </c>
      <c r="AD12" s="76">
        <f t="shared" si="3"/>
        <v>46266</v>
      </c>
      <c r="AG12" s="79" t="str">
        <v>octubre</v>
      </c>
      <c r="AH12" s="81" t="e" vm="1">
        <v>#VALUE!</v>
      </c>
    </row>
    <row r="13" spans="1:36" ht="15" x14ac:dyDescent="0.25">
      <c r="E13" s="79">
        <v>45971</v>
      </c>
      <c r="F13" s="78" t="s">
        <v>16</v>
      </c>
      <c r="G13" s="78">
        <v>145000</v>
      </c>
      <c r="I13" s="78" t="s">
        <v>48</v>
      </c>
      <c r="K13" s="80">
        <v>46030</v>
      </c>
      <c r="L13" s="78" t="s">
        <v>125</v>
      </c>
      <c r="M13" s="115"/>
      <c r="N13" s="110">
        <v>200000</v>
      </c>
      <c r="P13" s="80">
        <v>46028</v>
      </c>
      <c r="Q13" s="78" t="s">
        <v>135</v>
      </c>
      <c r="R13" s="115"/>
      <c r="S13" s="99">
        <v>50000</v>
      </c>
      <c r="U13" s="23">
        <v>46155</v>
      </c>
      <c r="V13" s="1" t="str">
        <v>Endosado ALNAT</v>
      </c>
      <c r="W13" s="91">
        <v>1925665.43</v>
      </c>
      <c r="X13" s="92" t="str">
        <v>Mercaderia</v>
      </c>
      <c r="Y13" s="82"/>
      <c r="AB13" s="101"/>
      <c r="AD13" s="76">
        <f t="shared" si="3"/>
        <v>46296</v>
      </c>
      <c r="AG13" s="79" t="str">
        <v>noviembre</v>
      </c>
      <c r="AH13" s="81" t="e" vm="1">
        <v>#VALUE!</v>
      </c>
    </row>
    <row r="14" spans="1:36" ht="15" x14ac:dyDescent="0.25">
      <c r="E14" s="79">
        <v>45971</v>
      </c>
      <c r="F14" s="78" t="s">
        <v>22</v>
      </c>
      <c r="G14" s="78">
        <v>45000</v>
      </c>
      <c r="I14" s="78" t="s">
        <v>48</v>
      </c>
      <c r="K14" s="80">
        <v>46030</v>
      </c>
      <c r="L14" s="78" t="s">
        <v>127</v>
      </c>
      <c r="M14" s="115"/>
      <c r="N14" s="81">
        <v>160000</v>
      </c>
      <c r="P14" s="80">
        <v>46028</v>
      </c>
      <c r="Q14" s="78" t="s">
        <v>118</v>
      </c>
      <c r="R14" s="115"/>
      <c r="S14" s="99">
        <v>26000</v>
      </c>
      <c r="U14" s="23">
        <v>46157</v>
      </c>
      <c r="V14" s="1" t="str">
        <v>Endosado ALNAT</v>
      </c>
      <c r="W14" s="91">
        <v>799786.09</v>
      </c>
      <c r="X14" s="92" t="str">
        <v>Mercaderia</v>
      </c>
      <c r="Y14" s="82"/>
      <c r="AB14" s="101"/>
      <c r="AD14" s="76">
        <f t="shared" si="3"/>
        <v>46327</v>
      </c>
      <c r="AG14" s="79" t="str">
        <v>diciembre</v>
      </c>
      <c r="AH14" s="81" t="e" vm="1">
        <v>#VALUE!</v>
      </c>
    </row>
    <row r="15" spans="1:36" ht="15" x14ac:dyDescent="0.25">
      <c r="E15" s="79">
        <v>45971</v>
      </c>
      <c r="F15" s="78" t="s">
        <v>23</v>
      </c>
      <c r="G15" s="78">
        <v>45000</v>
      </c>
      <c r="I15" s="78" t="s">
        <v>48</v>
      </c>
      <c r="K15" s="80">
        <v>46030</v>
      </c>
      <c r="L15" s="78" t="s">
        <v>128</v>
      </c>
      <c r="M15" s="115"/>
      <c r="N15" s="110">
        <v>600000</v>
      </c>
      <c r="P15" s="80">
        <v>46028</v>
      </c>
      <c r="Q15" s="78" t="s">
        <v>113</v>
      </c>
      <c r="R15" s="115"/>
      <c r="S15" s="99">
        <v>5800</v>
      </c>
      <c r="U15" s="23">
        <v>46159</v>
      </c>
      <c r="V15" s="1" t="str">
        <v>Endosado ALNAT</v>
      </c>
      <c r="W15" s="91">
        <v>2137195.3600000003</v>
      </c>
      <c r="X15" s="92" t="str">
        <v>Mercaderia</v>
      </c>
      <c r="Y15" s="82"/>
      <c r="AD15" s="76">
        <f t="shared" si="3"/>
        <v>46357</v>
      </c>
      <c r="AE15" s="79"/>
    </row>
    <row r="16" spans="1:36" ht="15" x14ac:dyDescent="0.25">
      <c r="A16" s="86"/>
      <c r="B16" s="86"/>
      <c r="C16" s="86"/>
      <c r="E16" s="79">
        <v>45971</v>
      </c>
      <c r="F16" s="78" t="s">
        <v>151</v>
      </c>
      <c r="G16" s="78">
        <v>45000</v>
      </c>
      <c r="I16" s="78" t="s">
        <v>48</v>
      </c>
      <c r="K16" s="80">
        <v>46030</v>
      </c>
      <c r="L16" s="78" t="s">
        <v>125</v>
      </c>
      <c r="M16" s="115"/>
      <c r="N16" s="110">
        <v>155141</v>
      </c>
      <c r="P16" s="80">
        <v>46029</v>
      </c>
      <c r="Q16" s="78" t="s">
        <v>119</v>
      </c>
      <c r="R16" s="115"/>
      <c r="S16" s="99">
        <v>125000</v>
      </c>
      <c r="U16" s="23">
        <v>46162</v>
      </c>
      <c r="V16" s="1" t="str">
        <v>IVA Mayo/26</v>
      </c>
      <c r="W16" s="91">
        <v>0</v>
      </c>
      <c r="X16" s="92" t="str">
        <v>GVarios</v>
      </c>
      <c r="Y16" s="82"/>
      <c r="AB16" s="101"/>
      <c r="AD16" s="76">
        <f t="shared" si="3"/>
        <v>46388</v>
      </c>
      <c r="AE16" s="79"/>
    </row>
    <row r="17" spans="1:31" ht="15" x14ac:dyDescent="0.25">
      <c r="A17" s="86"/>
      <c r="B17" s="86"/>
      <c r="C17" s="86"/>
      <c r="E17" s="79">
        <v>45974</v>
      </c>
      <c r="F17" s="78" t="s">
        <v>39</v>
      </c>
      <c r="G17" s="78">
        <v>50000</v>
      </c>
      <c r="I17" s="78" t="s">
        <v>48</v>
      </c>
      <c r="K17" s="80">
        <v>46031</v>
      </c>
      <c r="L17" s="78" t="s">
        <v>129</v>
      </c>
      <c r="M17" s="115"/>
      <c r="N17" s="81">
        <v>62000</v>
      </c>
      <c r="P17" s="80">
        <v>46029</v>
      </c>
      <c r="Q17" s="78" t="s">
        <v>120</v>
      </c>
      <c r="R17" s="115"/>
      <c r="S17" s="99">
        <v>80000</v>
      </c>
      <c r="U17" s="23">
        <v>46169</v>
      </c>
      <c r="V17" s="1" t="str">
        <v>Endosado ALU-MAQ</v>
      </c>
      <c r="W17" s="91">
        <v>919720.09</v>
      </c>
      <c r="X17" s="92" t="str">
        <v>Mercaderia</v>
      </c>
      <c r="Y17" s="82"/>
      <c r="AD17" s="76">
        <f t="shared" si="3"/>
        <v>46419</v>
      </c>
      <c r="AE17" s="79"/>
    </row>
    <row r="18" spans="1:31" ht="15" x14ac:dyDescent="0.25">
      <c r="A18" s="86"/>
      <c r="B18" s="86"/>
      <c r="C18" s="86"/>
      <c r="E18" s="79">
        <v>45975</v>
      </c>
      <c r="F18" s="78" t="s">
        <v>80</v>
      </c>
      <c r="G18" s="78">
        <v>1674547</v>
      </c>
      <c r="I18" s="78" t="s">
        <v>48</v>
      </c>
      <c r="K18" s="80">
        <v>46031</v>
      </c>
      <c r="L18" s="78" t="s">
        <v>116</v>
      </c>
      <c r="M18" s="115"/>
      <c r="N18" s="81">
        <v>64000</v>
      </c>
      <c r="P18" s="80">
        <v>46029</v>
      </c>
      <c r="Q18" s="78" t="s">
        <v>122</v>
      </c>
      <c r="R18" s="115"/>
      <c r="S18" s="99">
        <v>67339.759999999995</v>
      </c>
      <c r="U18" s="23"/>
      <c r="W18" s="91"/>
      <c r="X18" s="92"/>
      <c r="Y18" s="82"/>
      <c r="AE18" s="79"/>
    </row>
    <row r="19" spans="1:31" ht="15" x14ac:dyDescent="0.25">
      <c r="A19" s="86"/>
      <c r="B19" s="86"/>
      <c r="C19" s="86"/>
      <c r="E19" s="79">
        <v>45975</v>
      </c>
      <c r="F19" s="78" t="s">
        <v>42</v>
      </c>
      <c r="G19" s="78">
        <v>1321310</v>
      </c>
      <c r="I19" s="78" t="s">
        <v>48</v>
      </c>
      <c r="K19" s="80">
        <v>46031</v>
      </c>
      <c r="L19" s="78" t="s">
        <v>130</v>
      </c>
      <c r="M19" s="115"/>
      <c r="N19" s="110">
        <v>244104</v>
      </c>
      <c r="P19" s="80">
        <v>46029</v>
      </c>
      <c r="Q19" s="78" t="s">
        <v>124</v>
      </c>
      <c r="R19" s="115"/>
      <c r="S19" s="99">
        <v>23000</v>
      </c>
      <c r="U19" s="23"/>
      <c r="W19" s="91"/>
      <c r="X19" s="92"/>
      <c r="Y19" s="82"/>
      <c r="AE19" s="79"/>
    </row>
    <row r="20" spans="1:31" ht="15" x14ac:dyDescent="0.25">
      <c r="A20" s="86"/>
      <c r="B20" s="86"/>
      <c r="C20" s="86"/>
      <c r="E20" s="79">
        <v>45977</v>
      </c>
      <c r="F20" s="78" t="s">
        <v>11</v>
      </c>
      <c r="G20" s="78">
        <v>446304</v>
      </c>
      <c r="I20" s="78" t="s">
        <v>48</v>
      </c>
      <c r="K20" s="80">
        <v>46031</v>
      </c>
      <c r="L20" s="78" t="s">
        <v>131</v>
      </c>
      <c r="M20" s="115"/>
      <c r="N20" s="110">
        <v>66500</v>
      </c>
      <c r="P20" s="80">
        <v>46029</v>
      </c>
      <c r="Q20" s="78" t="s">
        <v>138</v>
      </c>
      <c r="R20" s="115"/>
      <c r="S20" s="99">
        <v>9000</v>
      </c>
      <c r="U20" s="23"/>
      <c r="W20" s="91"/>
      <c r="X20" s="92"/>
      <c r="Y20" s="82"/>
      <c r="AB20" s="84"/>
      <c r="AE20" s="79"/>
    </row>
    <row r="21" spans="1:31" ht="15" x14ac:dyDescent="0.25">
      <c r="A21" s="86"/>
      <c r="B21" s="86"/>
      <c r="C21" s="86"/>
      <c r="E21" s="79">
        <v>45977</v>
      </c>
      <c r="F21" s="78" t="s">
        <v>11</v>
      </c>
      <c r="G21" s="78">
        <v>410336</v>
      </c>
      <c r="I21" s="78" t="s">
        <v>48</v>
      </c>
      <c r="K21" s="80">
        <v>46031</v>
      </c>
      <c r="L21" s="78" t="s">
        <v>133</v>
      </c>
      <c r="M21" s="115"/>
      <c r="N21" s="110">
        <v>500000</v>
      </c>
      <c r="P21" s="80">
        <v>46030</v>
      </c>
      <c r="Q21" s="78" t="s">
        <v>126</v>
      </c>
      <c r="R21" s="115"/>
      <c r="S21" s="99">
        <v>32000</v>
      </c>
      <c r="U21" s="23"/>
      <c r="W21" s="91"/>
      <c r="X21" s="92"/>
      <c r="Y21" s="82"/>
      <c r="AE21" s="79"/>
    </row>
    <row r="22" spans="1:31" ht="15" x14ac:dyDescent="0.25">
      <c r="A22" s="86"/>
      <c r="B22" s="86"/>
      <c r="C22" s="86"/>
      <c r="E22" s="79">
        <v>45977</v>
      </c>
      <c r="F22" s="78" t="s">
        <v>69</v>
      </c>
      <c r="G22" s="78">
        <v>2219182.6</v>
      </c>
      <c r="I22" s="78" t="s">
        <v>48</v>
      </c>
      <c r="K22" s="80">
        <v>46031</v>
      </c>
      <c r="L22" s="78" t="s">
        <v>134</v>
      </c>
      <c r="M22" s="115"/>
      <c r="N22" s="110">
        <v>149500</v>
      </c>
      <c r="P22" s="80">
        <v>46028</v>
      </c>
      <c r="Q22" s="78" t="s">
        <v>113</v>
      </c>
      <c r="R22" s="115"/>
      <c r="S22" s="99">
        <v>8300</v>
      </c>
      <c r="U22" s="23"/>
      <c r="W22" s="91"/>
      <c r="X22" s="92"/>
      <c r="Y22" s="82"/>
      <c r="AE22" s="79"/>
    </row>
    <row r="23" spans="1:31" ht="15" x14ac:dyDescent="0.25">
      <c r="A23" s="86"/>
      <c r="B23" s="86"/>
      <c r="C23" s="86"/>
      <c r="E23" s="79">
        <v>45978</v>
      </c>
      <c r="F23" s="78" t="s">
        <v>40</v>
      </c>
      <c r="G23" s="78">
        <v>1528316.97</v>
      </c>
      <c r="I23" s="78" t="s">
        <v>48</v>
      </c>
      <c r="K23" s="80">
        <v>46034</v>
      </c>
      <c r="L23" s="78" t="s">
        <v>136</v>
      </c>
      <c r="M23" s="115"/>
      <c r="N23" s="110">
        <v>75000</v>
      </c>
      <c r="P23" s="80">
        <v>46031</v>
      </c>
      <c r="Q23" s="78" t="s">
        <v>132</v>
      </c>
      <c r="R23" s="115"/>
      <c r="S23" s="99">
        <v>14000</v>
      </c>
      <c r="U23" s="23"/>
      <c r="W23" s="91"/>
      <c r="X23" s="92"/>
      <c r="Y23" s="82"/>
      <c r="AE23" s="79"/>
    </row>
    <row r="24" spans="1:31" ht="15" x14ac:dyDescent="0.25">
      <c r="A24" s="86"/>
      <c r="B24" s="86"/>
      <c r="C24" s="86"/>
      <c r="E24" s="79">
        <v>45981</v>
      </c>
      <c r="F24" s="78" t="s">
        <v>17</v>
      </c>
      <c r="G24" s="78">
        <v>375705</v>
      </c>
      <c r="I24" s="78" t="s">
        <v>48</v>
      </c>
      <c r="K24" s="80">
        <v>46034</v>
      </c>
      <c r="L24" s="78" t="s">
        <v>137</v>
      </c>
      <c r="M24" s="115"/>
      <c r="N24" s="110">
        <v>80868</v>
      </c>
      <c r="P24" s="80">
        <v>46031</v>
      </c>
      <c r="Q24" s="78" t="s">
        <v>135</v>
      </c>
      <c r="R24" s="115"/>
      <c r="S24" s="99">
        <v>400000</v>
      </c>
      <c r="U24" s="23"/>
      <c r="W24" s="91"/>
      <c r="X24" s="92"/>
      <c r="Y24" s="82"/>
      <c r="AE24" s="79"/>
    </row>
    <row r="25" spans="1:31" ht="15" x14ac:dyDescent="0.25">
      <c r="A25" s="86"/>
      <c r="B25" s="86"/>
      <c r="C25" s="86"/>
      <c r="E25" s="79">
        <v>45981</v>
      </c>
      <c r="F25" s="78" t="s">
        <v>18</v>
      </c>
      <c r="G25" s="78">
        <v>302500</v>
      </c>
      <c r="I25" s="78" t="s">
        <v>48</v>
      </c>
      <c r="K25" s="80">
        <v>46035</v>
      </c>
      <c r="L25" s="78" t="s">
        <v>140</v>
      </c>
      <c r="M25" s="115"/>
      <c r="N25" s="110">
        <v>129265</v>
      </c>
      <c r="P25" s="80">
        <v>46034</v>
      </c>
      <c r="Q25" s="78" t="s">
        <v>113</v>
      </c>
      <c r="R25" s="115"/>
      <c r="S25" s="99">
        <v>500</v>
      </c>
      <c r="U25" s="23"/>
      <c r="W25" s="91"/>
      <c r="X25" s="92"/>
      <c r="Y25" s="82"/>
      <c r="AE25" s="79"/>
    </row>
    <row r="26" spans="1:31" ht="15" x14ac:dyDescent="0.25">
      <c r="A26" s="86"/>
      <c r="B26" s="86"/>
      <c r="C26" s="86"/>
      <c r="E26" s="79">
        <v>45981</v>
      </c>
      <c r="F26" s="78" t="s">
        <v>66</v>
      </c>
      <c r="G26" s="78">
        <v>1232509.27</v>
      </c>
      <c r="I26" s="78" t="s">
        <v>48</v>
      </c>
      <c r="K26" s="80">
        <v>46035</v>
      </c>
      <c r="L26" s="78" t="s">
        <v>141</v>
      </c>
      <c r="M26" s="115"/>
      <c r="N26" s="110">
        <v>425000</v>
      </c>
      <c r="P26" s="80">
        <v>46034</v>
      </c>
      <c r="Q26" s="78" t="s">
        <v>138</v>
      </c>
      <c r="R26" s="115"/>
      <c r="S26" s="99">
        <v>7998</v>
      </c>
      <c r="U26" s="23"/>
      <c r="W26" s="91"/>
      <c r="X26" s="92"/>
      <c r="Y26" s="82"/>
      <c r="AE26" s="79"/>
    </row>
    <row r="27" spans="1:31" ht="15" x14ac:dyDescent="0.25">
      <c r="A27" s="86"/>
      <c r="B27" s="86"/>
      <c r="C27" s="86"/>
      <c r="E27" s="79">
        <v>45985</v>
      </c>
      <c r="F27" s="78" t="s">
        <v>41</v>
      </c>
      <c r="G27" s="78">
        <v>889000</v>
      </c>
      <c r="I27" s="78" t="s">
        <v>48</v>
      </c>
      <c r="K27" s="80">
        <v>46035</v>
      </c>
      <c r="L27" s="78" t="s">
        <v>142</v>
      </c>
      <c r="M27" s="115"/>
      <c r="N27" s="110">
        <v>524636</v>
      </c>
      <c r="P27" s="80">
        <v>46035</v>
      </c>
      <c r="Q27" s="78" t="s">
        <v>112</v>
      </c>
      <c r="R27" s="115"/>
      <c r="S27" s="99">
        <v>83009</v>
      </c>
      <c r="U27" s="23"/>
      <c r="W27" s="91"/>
      <c r="X27" s="92"/>
      <c r="Y27" s="82"/>
      <c r="AE27" s="79"/>
    </row>
    <row r="28" spans="1:31" ht="15" x14ac:dyDescent="0.25">
      <c r="A28" s="86"/>
      <c r="B28" s="86"/>
      <c r="C28" s="86"/>
      <c r="E28" s="79">
        <v>45986</v>
      </c>
      <c r="F28" s="78" t="s">
        <v>19</v>
      </c>
      <c r="G28" s="78">
        <v>174636</v>
      </c>
      <c r="I28" s="78" t="s">
        <v>48</v>
      </c>
      <c r="K28" s="80">
        <v>46035</v>
      </c>
      <c r="L28" s="78" t="s">
        <v>143</v>
      </c>
      <c r="M28" s="115"/>
      <c r="N28" s="110">
        <v>126000</v>
      </c>
      <c r="P28" s="80">
        <v>46035</v>
      </c>
      <c r="Q28" s="78" t="s">
        <v>138</v>
      </c>
      <c r="R28" s="115"/>
      <c r="S28" s="99">
        <v>8000</v>
      </c>
      <c r="U28" s="23"/>
      <c r="W28" s="91"/>
      <c r="X28" s="92"/>
      <c r="Y28" s="82"/>
      <c r="AE28" s="79"/>
    </row>
    <row r="29" spans="1:31" ht="15" x14ac:dyDescent="0.25">
      <c r="A29" s="86"/>
      <c r="B29" s="86"/>
      <c r="C29" s="86"/>
      <c r="E29" s="79">
        <v>45988</v>
      </c>
      <c r="F29" s="78" t="s">
        <v>42</v>
      </c>
      <c r="G29" s="78">
        <v>315894.99</v>
      </c>
      <c r="I29" s="78" t="s">
        <v>48</v>
      </c>
      <c r="K29" s="80">
        <v>46035</v>
      </c>
      <c r="L29" s="78" t="s">
        <v>144</v>
      </c>
      <c r="M29" s="115"/>
      <c r="N29" s="81">
        <v>50000</v>
      </c>
      <c r="P29" s="80">
        <v>46035</v>
      </c>
      <c r="Q29" s="78" t="s">
        <v>138</v>
      </c>
      <c r="R29" s="115"/>
      <c r="S29" s="99">
        <v>8000</v>
      </c>
      <c r="U29" s="23"/>
      <c r="W29" s="91"/>
      <c r="X29" s="92"/>
      <c r="Y29" s="82"/>
      <c r="AE29" s="79"/>
    </row>
    <row r="30" spans="1:31" ht="15" x14ac:dyDescent="0.25">
      <c r="A30" s="86"/>
      <c r="B30" s="86"/>
      <c r="C30" s="86"/>
      <c r="E30" s="79">
        <v>45991</v>
      </c>
      <c r="F30" s="78" t="s">
        <v>67</v>
      </c>
      <c r="G30" s="78">
        <v>482115</v>
      </c>
      <c r="I30" s="78" t="s">
        <v>48</v>
      </c>
      <c r="K30" s="80">
        <v>46036</v>
      </c>
      <c r="L30" s="78" t="s">
        <v>145</v>
      </c>
      <c r="M30" s="115"/>
      <c r="N30" s="110">
        <v>385000</v>
      </c>
      <c r="P30" s="80">
        <v>46036</v>
      </c>
      <c r="Q30" s="78" t="s">
        <v>148</v>
      </c>
      <c r="R30" s="115"/>
      <c r="S30" s="99">
        <v>175000</v>
      </c>
      <c r="U30" s="23"/>
      <c r="W30" s="91"/>
      <c r="X30" s="92"/>
      <c r="Y30" s="82"/>
      <c r="AB30" s="84"/>
      <c r="AE30" s="79"/>
    </row>
    <row r="31" spans="1:31" ht="15" x14ac:dyDescent="0.25">
      <c r="A31" s="86"/>
      <c r="B31" s="86"/>
      <c r="C31" s="86"/>
      <c r="E31" s="79">
        <v>45992</v>
      </c>
      <c r="F31" s="78" t="s">
        <v>61</v>
      </c>
      <c r="G31" s="78">
        <v>16388.04</v>
      </c>
      <c r="I31" s="78" t="s">
        <v>48</v>
      </c>
      <c r="K31" s="80">
        <v>46037</v>
      </c>
      <c r="L31" s="78" t="s">
        <v>133</v>
      </c>
      <c r="M31" s="115"/>
      <c r="N31" s="110">
        <v>500000</v>
      </c>
      <c r="P31" s="80">
        <v>46037</v>
      </c>
      <c r="Q31" s="78" t="s">
        <v>135</v>
      </c>
      <c r="R31" s="115"/>
      <c r="S31" s="99">
        <v>100000</v>
      </c>
      <c r="U31" s="23"/>
      <c r="W31" s="91"/>
      <c r="X31" s="92"/>
      <c r="Y31" s="82"/>
      <c r="AE31" s="79"/>
    </row>
    <row r="32" spans="1:31" ht="15" x14ac:dyDescent="0.25">
      <c r="A32" s="86"/>
      <c r="B32" s="86"/>
      <c r="C32" s="86"/>
      <c r="E32" s="79">
        <v>45993</v>
      </c>
      <c r="F32" s="78" t="s">
        <v>60</v>
      </c>
      <c r="G32" s="78">
        <v>112300.02</v>
      </c>
      <c r="I32" s="78" t="s">
        <v>48</v>
      </c>
      <c r="K32" s="80">
        <v>46037</v>
      </c>
      <c r="L32" s="78" t="s">
        <v>146</v>
      </c>
      <c r="M32" s="115"/>
      <c r="N32" s="110">
        <v>600000</v>
      </c>
      <c r="P32" s="80">
        <v>46038</v>
      </c>
      <c r="Q32" s="78" t="s">
        <v>152</v>
      </c>
      <c r="R32" s="115"/>
      <c r="S32" s="99">
        <v>103214</v>
      </c>
      <c r="U32" s="23"/>
      <c r="W32" s="91"/>
      <c r="X32" s="92"/>
      <c r="Y32" s="82"/>
      <c r="AE32" s="79"/>
    </row>
    <row r="33" spans="1:31" ht="15" x14ac:dyDescent="0.25">
      <c r="A33" s="86"/>
      <c r="B33" s="86"/>
      <c r="C33" s="86"/>
      <c r="E33" s="79">
        <v>45993</v>
      </c>
      <c r="F33" s="78" t="s">
        <v>59</v>
      </c>
      <c r="G33" s="78">
        <v>71670</v>
      </c>
      <c r="I33" s="78" t="s">
        <v>48</v>
      </c>
      <c r="K33" s="80">
        <v>46037</v>
      </c>
      <c r="L33" s="78" t="s">
        <v>125</v>
      </c>
      <c r="M33" s="115"/>
      <c r="N33" s="110">
        <v>500000</v>
      </c>
      <c r="P33" s="80">
        <v>46037</v>
      </c>
      <c r="Q33" s="78" t="s">
        <v>153</v>
      </c>
      <c r="R33" s="115"/>
      <c r="S33" s="99">
        <v>30000</v>
      </c>
      <c r="U33" s="23"/>
      <c r="W33" s="91"/>
      <c r="X33" s="92"/>
      <c r="Y33" s="82"/>
      <c r="AE33" s="79"/>
    </row>
    <row r="34" spans="1:31" ht="15" x14ac:dyDescent="0.25">
      <c r="A34" s="86"/>
      <c r="B34" s="86"/>
      <c r="C34" s="86"/>
      <c r="E34" s="79">
        <v>45994</v>
      </c>
      <c r="F34" s="78" t="s">
        <v>55</v>
      </c>
      <c r="G34" s="78">
        <v>1384504.29</v>
      </c>
      <c r="H34" s="78">
        <v>629.66999999999996</v>
      </c>
      <c r="I34" s="78" t="s">
        <v>48</v>
      </c>
      <c r="K34" s="80">
        <v>46036</v>
      </c>
      <c r="L34" s="78" t="s">
        <v>147</v>
      </c>
      <c r="M34" s="115"/>
      <c r="N34" s="110">
        <v>396450</v>
      </c>
      <c r="P34" s="80">
        <v>46038</v>
      </c>
      <c r="Q34" s="78" t="s">
        <v>135</v>
      </c>
      <c r="R34" s="115"/>
      <c r="S34" s="99">
        <v>350000</v>
      </c>
      <c r="U34" s="23"/>
      <c r="W34" s="91"/>
      <c r="X34" s="92"/>
      <c r="Y34" s="82"/>
      <c r="AE34" s="79"/>
    </row>
    <row r="35" spans="1:31" ht="15" x14ac:dyDescent="0.25">
      <c r="A35" s="86"/>
      <c r="B35" s="86"/>
      <c r="C35" s="86"/>
      <c r="E35" s="79">
        <v>45998</v>
      </c>
      <c r="F35" s="78" t="s">
        <v>38</v>
      </c>
      <c r="G35" s="78">
        <v>40577.730000000003</v>
      </c>
      <c r="I35" s="78" t="s">
        <v>48</v>
      </c>
      <c r="K35" s="80">
        <v>46036</v>
      </c>
      <c r="L35" s="78" t="s">
        <v>149</v>
      </c>
      <c r="M35" s="115"/>
      <c r="N35" s="81">
        <v>150000</v>
      </c>
      <c r="P35" s="80">
        <v>46038</v>
      </c>
      <c r="Q35" s="78" t="s">
        <v>157</v>
      </c>
      <c r="R35" s="115"/>
      <c r="S35" s="99">
        <v>400000</v>
      </c>
      <c r="U35" s="23"/>
      <c r="W35" s="91"/>
      <c r="X35" s="92"/>
      <c r="Y35" s="82"/>
      <c r="AE35" s="79"/>
    </row>
    <row r="36" spans="1:31" ht="15" x14ac:dyDescent="0.25">
      <c r="A36" s="86"/>
      <c r="B36" s="86"/>
      <c r="C36" s="86"/>
      <c r="E36" s="79">
        <v>45998</v>
      </c>
      <c r="F36" s="78" t="s">
        <v>20</v>
      </c>
      <c r="G36" s="78">
        <v>80540.72</v>
      </c>
      <c r="I36" s="78" t="s">
        <v>48</v>
      </c>
      <c r="K36" s="80">
        <v>46037</v>
      </c>
      <c r="L36" s="78" t="s">
        <v>150</v>
      </c>
      <c r="M36" s="115"/>
      <c r="N36" s="81">
        <v>172732</v>
      </c>
      <c r="P36" s="80">
        <v>46041</v>
      </c>
      <c r="Q36" s="78" t="s">
        <v>157</v>
      </c>
      <c r="R36" s="115"/>
      <c r="S36" s="99">
        <f>375000*2</f>
        <v>750000</v>
      </c>
      <c r="U36" s="23"/>
      <c r="W36" s="91"/>
      <c r="X36" s="92"/>
      <c r="Y36" s="82"/>
      <c r="AE36" s="79"/>
    </row>
    <row r="37" spans="1:31" ht="15" x14ac:dyDescent="0.25">
      <c r="A37" s="86"/>
      <c r="B37" s="86"/>
      <c r="C37" s="86"/>
      <c r="E37" s="79">
        <v>46001</v>
      </c>
      <c r="F37" s="78" t="s">
        <v>13</v>
      </c>
      <c r="G37" s="78">
        <v>500000</v>
      </c>
      <c r="I37" s="78" t="s">
        <v>48</v>
      </c>
      <c r="K37" s="80">
        <v>46038</v>
      </c>
      <c r="L37" s="78" t="s">
        <v>143</v>
      </c>
      <c r="M37" s="115"/>
      <c r="N37" s="110">
        <v>148000</v>
      </c>
      <c r="P37" s="80">
        <v>46041</v>
      </c>
      <c r="Q37" s="78" t="s">
        <v>135</v>
      </c>
      <c r="R37" s="115"/>
      <c r="S37" s="99">
        <v>300000</v>
      </c>
      <c r="U37" s="23"/>
      <c r="W37" s="91"/>
      <c r="X37" s="92"/>
      <c r="Y37" s="82"/>
      <c r="AE37" s="79"/>
    </row>
    <row r="38" spans="1:31" ht="15" x14ac:dyDescent="0.25">
      <c r="A38" s="86"/>
      <c r="B38" s="86"/>
      <c r="C38" s="86"/>
      <c r="E38" s="79">
        <v>46001</v>
      </c>
      <c r="F38" s="78" t="s">
        <v>14</v>
      </c>
      <c r="G38" s="78">
        <v>250000</v>
      </c>
      <c r="I38" s="78" t="s">
        <v>48</v>
      </c>
      <c r="K38" s="80">
        <v>46038</v>
      </c>
      <c r="L38" s="78" t="s">
        <v>131</v>
      </c>
      <c r="M38" s="115"/>
      <c r="N38" s="110">
        <v>112000</v>
      </c>
      <c r="P38" s="80">
        <v>46042</v>
      </c>
      <c r="Q38" s="78" t="s">
        <v>113</v>
      </c>
      <c r="R38" s="115"/>
      <c r="S38" s="99">
        <v>12500</v>
      </c>
      <c r="U38" s="23"/>
      <c r="W38" s="91"/>
      <c r="X38" s="92"/>
      <c r="Y38" s="82"/>
      <c r="AE38" s="79"/>
    </row>
    <row r="39" spans="1:31" ht="15" x14ac:dyDescent="0.25">
      <c r="A39" s="86"/>
      <c r="B39" s="86"/>
      <c r="C39" s="86"/>
      <c r="E39" s="79">
        <v>46001</v>
      </c>
      <c r="F39" s="78" t="s">
        <v>15</v>
      </c>
      <c r="G39" s="78">
        <v>450000</v>
      </c>
      <c r="I39" s="78" t="s">
        <v>48</v>
      </c>
      <c r="K39" s="80">
        <v>46038</v>
      </c>
      <c r="L39" s="78" t="s">
        <v>144</v>
      </c>
      <c r="M39" s="115"/>
      <c r="N39" s="110">
        <v>20000</v>
      </c>
      <c r="P39" s="80">
        <v>46042</v>
      </c>
      <c r="Q39" s="78" t="s">
        <v>138</v>
      </c>
      <c r="R39" s="115"/>
      <c r="S39" s="99">
        <v>10000</v>
      </c>
      <c r="U39" s="23"/>
      <c r="W39" s="91"/>
      <c r="X39" s="92"/>
      <c r="Y39" s="82"/>
      <c r="AE39" s="79"/>
    </row>
    <row r="40" spans="1:31" ht="15" x14ac:dyDescent="0.25">
      <c r="A40" s="86"/>
      <c r="B40" s="86"/>
      <c r="C40" s="86"/>
      <c r="E40" s="79">
        <v>46001</v>
      </c>
      <c r="F40" s="78" t="s">
        <v>16</v>
      </c>
      <c r="G40" s="78">
        <v>150000</v>
      </c>
      <c r="I40" s="78" t="s">
        <v>48</v>
      </c>
      <c r="K40" s="80">
        <v>46024</v>
      </c>
      <c r="L40" s="78" t="s">
        <v>154</v>
      </c>
      <c r="M40" s="115"/>
      <c r="N40" s="110">
        <v>323000</v>
      </c>
      <c r="P40" s="80">
        <v>46043</v>
      </c>
      <c r="Q40" s="78" t="s">
        <v>161</v>
      </c>
      <c r="R40" s="115"/>
      <c r="S40" s="99">
        <v>138000</v>
      </c>
      <c r="U40" s="23"/>
      <c r="W40" s="91"/>
      <c r="X40" s="92"/>
      <c r="Y40" s="82"/>
      <c r="AE40" s="79"/>
    </row>
    <row r="41" spans="1:31" ht="15" x14ac:dyDescent="0.25">
      <c r="A41" s="86"/>
      <c r="B41" s="86"/>
      <c r="C41" s="86"/>
      <c r="E41" s="79">
        <v>46001</v>
      </c>
      <c r="F41" s="78" t="s">
        <v>21</v>
      </c>
      <c r="G41" s="78">
        <v>775589.93</v>
      </c>
      <c r="I41" s="78" t="s">
        <v>48</v>
      </c>
      <c r="K41" s="80">
        <v>46024</v>
      </c>
      <c r="L41" s="78" t="s">
        <v>155</v>
      </c>
      <c r="M41" s="115"/>
      <c r="N41" s="110">
        <v>393333.33</v>
      </c>
      <c r="P41" s="80">
        <v>46044</v>
      </c>
      <c r="Q41" s="78" t="s">
        <v>170</v>
      </c>
      <c r="R41" s="115"/>
      <c r="S41" s="99">
        <v>236734.96</v>
      </c>
      <c r="U41" s="23"/>
      <c r="W41" s="91"/>
      <c r="X41" s="92"/>
      <c r="Y41" s="82"/>
      <c r="AE41" s="79"/>
    </row>
    <row r="42" spans="1:31" ht="15" x14ac:dyDescent="0.25">
      <c r="A42" s="86"/>
      <c r="B42" s="86"/>
      <c r="C42" s="86"/>
      <c r="E42" s="79">
        <v>46003</v>
      </c>
      <c r="F42" s="78" t="s">
        <v>58</v>
      </c>
      <c r="G42" s="78">
        <v>40749</v>
      </c>
      <c r="I42" s="78" t="s">
        <v>48</v>
      </c>
      <c r="K42" s="80">
        <v>46024</v>
      </c>
      <c r="L42" s="78" t="s">
        <v>154</v>
      </c>
      <c r="M42" s="115"/>
      <c r="N42" s="110">
        <v>468478.78</v>
      </c>
      <c r="P42" s="80">
        <v>46044</v>
      </c>
      <c r="Q42" s="78" t="s">
        <v>171</v>
      </c>
      <c r="R42" s="115"/>
      <c r="S42" s="99">
        <v>140425</v>
      </c>
      <c r="U42" s="23"/>
      <c r="W42" s="91"/>
      <c r="X42" s="92"/>
      <c r="Y42" s="82"/>
      <c r="AE42" s="79"/>
    </row>
    <row r="43" spans="1:31" ht="15" x14ac:dyDescent="0.25">
      <c r="A43" s="86"/>
      <c r="B43" s="86"/>
      <c r="C43" s="86"/>
      <c r="E43" s="79">
        <v>46004</v>
      </c>
      <c r="F43" s="78" t="s">
        <v>59</v>
      </c>
      <c r="G43" s="78">
        <v>98566</v>
      </c>
      <c r="I43" s="78" t="s">
        <v>48</v>
      </c>
      <c r="K43" s="80">
        <v>46031</v>
      </c>
      <c r="L43" s="78" t="s">
        <v>155</v>
      </c>
      <c r="M43" s="115"/>
      <c r="N43" s="110">
        <v>650000</v>
      </c>
      <c r="P43" s="80">
        <v>46045</v>
      </c>
      <c r="Q43" s="78" t="s">
        <v>112</v>
      </c>
      <c r="R43" s="115"/>
      <c r="S43" s="99">
        <v>78500</v>
      </c>
      <c r="U43" s="23"/>
      <c r="W43" s="91"/>
      <c r="X43" s="92"/>
      <c r="Y43" s="82"/>
      <c r="AE43" s="79"/>
    </row>
    <row r="44" spans="1:31" ht="15" x14ac:dyDescent="0.25">
      <c r="A44" s="86"/>
      <c r="B44" s="86"/>
      <c r="C44" s="86"/>
      <c r="E44" s="79">
        <v>46004</v>
      </c>
      <c r="F44" s="78" t="s">
        <v>64</v>
      </c>
      <c r="G44" s="78">
        <v>90346.85</v>
      </c>
      <c r="I44" s="78" t="s">
        <v>48</v>
      </c>
      <c r="K44" s="80">
        <v>46035</v>
      </c>
      <c r="L44" s="78" t="s">
        <v>154</v>
      </c>
      <c r="M44" s="115"/>
      <c r="N44" s="110">
        <v>337761</v>
      </c>
      <c r="P44" s="80">
        <v>46045</v>
      </c>
      <c r="Q44" s="78" t="s">
        <v>173</v>
      </c>
      <c r="R44" s="115"/>
      <c r="S44" s="99">
        <f>500*1490</f>
        <v>745000</v>
      </c>
      <c r="U44" s="23"/>
      <c r="W44" s="91"/>
      <c r="X44" s="92"/>
      <c r="Y44" s="82"/>
      <c r="AE44" s="79"/>
    </row>
    <row r="45" spans="1:31" ht="15" x14ac:dyDescent="0.25">
      <c r="A45" s="86"/>
      <c r="B45" s="86"/>
      <c r="C45" s="86"/>
      <c r="E45" s="79">
        <v>46005</v>
      </c>
      <c r="F45" s="78" t="s">
        <v>80</v>
      </c>
      <c r="G45" s="78">
        <v>1674547</v>
      </c>
      <c r="I45" s="78" t="s">
        <v>48</v>
      </c>
      <c r="K45" s="80">
        <v>46035</v>
      </c>
      <c r="L45" s="78" t="s">
        <v>154</v>
      </c>
      <c r="M45" s="115"/>
      <c r="N45" s="110">
        <v>337761</v>
      </c>
      <c r="P45" s="80">
        <v>46045</v>
      </c>
      <c r="Q45" s="78" t="s">
        <v>135</v>
      </c>
      <c r="R45" s="115"/>
      <c r="S45" s="99">
        <v>100000</v>
      </c>
      <c r="U45" s="23"/>
      <c r="W45" s="91"/>
      <c r="X45" s="92"/>
      <c r="Y45" s="82"/>
      <c r="AE45" s="79"/>
    </row>
    <row r="46" spans="1:31" ht="15" x14ac:dyDescent="0.25">
      <c r="A46" s="86"/>
      <c r="B46" s="86"/>
      <c r="C46" s="86"/>
      <c r="E46" s="79">
        <v>46005</v>
      </c>
      <c r="F46" s="78" t="s">
        <v>42</v>
      </c>
      <c r="G46" s="78">
        <v>1321310</v>
      </c>
      <c r="I46" s="78" t="s">
        <v>48</v>
      </c>
      <c r="K46" s="80">
        <v>46038</v>
      </c>
      <c r="L46" s="78" t="s">
        <v>156</v>
      </c>
      <c r="M46" s="115"/>
      <c r="N46" s="110">
        <v>543075.43999999994</v>
      </c>
      <c r="P46" s="80">
        <v>46047</v>
      </c>
      <c r="Q46" s="78" t="s">
        <v>152</v>
      </c>
      <c r="R46" s="115"/>
      <c r="S46" s="99">
        <v>104226</v>
      </c>
      <c r="U46" s="23"/>
      <c r="W46" s="91"/>
      <c r="X46" s="92"/>
      <c r="Y46" s="82"/>
      <c r="AE46" s="79"/>
    </row>
    <row r="47" spans="1:31" ht="15" x14ac:dyDescent="0.25">
      <c r="A47" s="86"/>
      <c r="B47" s="86"/>
      <c r="C47" s="86"/>
      <c r="E47" s="79">
        <v>46007</v>
      </c>
      <c r="F47" s="78" t="s">
        <v>11</v>
      </c>
      <c r="G47" s="78">
        <v>446304</v>
      </c>
      <c r="I47" s="78" t="s">
        <v>48</v>
      </c>
      <c r="K47" s="80">
        <v>46039</v>
      </c>
      <c r="L47" s="78" t="s">
        <v>155</v>
      </c>
      <c r="M47" s="115"/>
      <c r="N47" s="110">
        <v>500000</v>
      </c>
      <c r="P47" s="80">
        <v>46048</v>
      </c>
      <c r="Q47" s="78" t="s">
        <v>175</v>
      </c>
      <c r="R47" s="115"/>
      <c r="S47" s="99">
        <v>115000</v>
      </c>
      <c r="U47" s="23"/>
      <c r="W47" s="91"/>
      <c r="X47" s="92"/>
      <c r="Y47" s="82"/>
      <c r="AE47" s="79"/>
    </row>
    <row r="48" spans="1:31" ht="15" x14ac:dyDescent="0.25">
      <c r="A48" s="86"/>
      <c r="B48" s="86"/>
      <c r="C48" s="86"/>
      <c r="E48" s="79">
        <v>46007</v>
      </c>
      <c r="F48" s="78" t="s">
        <v>11</v>
      </c>
      <c r="G48" s="78">
        <v>410336</v>
      </c>
      <c r="I48" s="78" t="s">
        <v>48</v>
      </c>
      <c r="K48" s="80">
        <v>46045</v>
      </c>
      <c r="L48" s="78" t="s">
        <v>155</v>
      </c>
      <c r="M48" s="115"/>
      <c r="N48" s="110">
        <v>653124.79</v>
      </c>
      <c r="P48" s="80">
        <v>46048</v>
      </c>
      <c r="Q48" s="78" t="s">
        <v>176</v>
      </c>
      <c r="R48" s="115"/>
      <c r="S48" s="99">
        <v>12500</v>
      </c>
      <c r="U48" s="23"/>
      <c r="W48" s="91"/>
      <c r="X48" s="92"/>
      <c r="Y48" s="82"/>
      <c r="AE48" s="79"/>
    </row>
    <row r="49" spans="1:31" ht="15" x14ac:dyDescent="0.25">
      <c r="A49" s="86"/>
      <c r="B49" s="86"/>
      <c r="C49" s="86"/>
      <c r="E49" s="79">
        <v>46008</v>
      </c>
      <c r="F49" s="78" t="s">
        <v>40</v>
      </c>
      <c r="G49" s="78">
        <v>1528316.97</v>
      </c>
      <c r="I49" s="78" t="s">
        <v>48</v>
      </c>
      <c r="K49" s="80">
        <v>46047</v>
      </c>
      <c r="L49" s="78" t="s">
        <v>154</v>
      </c>
      <c r="M49" s="115"/>
      <c r="N49" s="110">
        <v>654078.56999999995</v>
      </c>
      <c r="P49" s="80">
        <v>46049</v>
      </c>
      <c r="Q49" s="78" t="s">
        <v>176</v>
      </c>
      <c r="R49" s="115"/>
      <c r="S49" s="99">
        <v>8000</v>
      </c>
      <c r="U49" s="23"/>
      <c r="W49" s="91"/>
      <c r="X49" s="92"/>
      <c r="Y49" s="82"/>
      <c r="AE49" s="79"/>
    </row>
    <row r="50" spans="1:31" ht="15" x14ac:dyDescent="0.25">
      <c r="A50" s="86"/>
      <c r="B50" s="86"/>
      <c r="C50" s="86"/>
      <c r="E50" s="79">
        <v>46010</v>
      </c>
      <c r="F50" s="78" t="s">
        <v>53</v>
      </c>
      <c r="G50" s="78">
        <v>3732772.7</v>
      </c>
      <c r="I50" s="78" t="s">
        <v>48</v>
      </c>
      <c r="K50" s="80">
        <v>46048.000138888892</v>
      </c>
      <c r="L50" s="78" t="s">
        <v>154</v>
      </c>
      <c r="M50" s="115"/>
      <c r="N50" s="110">
        <v>505515.25</v>
      </c>
      <c r="P50" s="80">
        <v>46050</v>
      </c>
      <c r="Q50" s="78" t="s">
        <v>112</v>
      </c>
      <c r="R50" s="115"/>
      <c r="S50" s="99">
        <v>80011</v>
      </c>
      <c r="U50" s="23"/>
      <c r="W50" s="91"/>
      <c r="X50" s="92"/>
      <c r="Y50" s="82"/>
      <c r="AE50" s="79"/>
    </row>
    <row r="51" spans="1:31" ht="15" x14ac:dyDescent="0.25">
      <c r="A51" s="86"/>
      <c r="B51" s="86"/>
      <c r="C51" s="86"/>
      <c r="E51" s="79">
        <v>46011</v>
      </c>
      <c r="F51" s="78" t="s">
        <v>17</v>
      </c>
      <c r="G51" s="78">
        <v>401600</v>
      </c>
      <c r="I51" s="78" t="s">
        <v>48</v>
      </c>
      <c r="K51" s="80">
        <v>46053</v>
      </c>
      <c r="L51" s="78" t="s">
        <v>155</v>
      </c>
      <c r="M51" s="115"/>
      <c r="N51" s="110">
        <v>308500</v>
      </c>
      <c r="P51" s="80">
        <v>46050</v>
      </c>
      <c r="Q51" s="78" t="s">
        <v>138</v>
      </c>
      <c r="R51" s="115"/>
      <c r="S51" s="99">
        <f>8000+4051</f>
        <v>12051</v>
      </c>
      <c r="U51" s="23"/>
      <c r="W51" s="91"/>
      <c r="X51" s="92"/>
      <c r="Y51" s="82"/>
      <c r="AE51" s="79"/>
    </row>
    <row r="52" spans="1:31" ht="15" x14ac:dyDescent="0.25">
      <c r="A52" s="86"/>
      <c r="B52" s="86"/>
      <c r="C52" s="86"/>
      <c r="E52" s="79">
        <v>46013</v>
      </c>
      <c r="F52" s="78" t="s">
        <v>62</v>
      </c>
      <c r="G52" s="78">
        <v>345000</v>
      </c>
      <c r="I52" s="78" t="s">
        <v>48</v>
      </c>
      <c r="K52" s="80">
        <v>46048</v>
      </c>
      <c r="L52" s="85" t="s">
        <v>146</v>
      </c>
      <c r="M52" s="115"/>
      <c r="N52" s="111">
        <v>627847.5</v>
      </c>
      <c r="P52" s="80">
        <v>46050</v>
      </c>
      <c r="Q52" s="78" t="s">
        <v>176</v>
      </c>
      <c r="R52" s="115"/>
      <c r="S52" s="99">
        <v>11000</v>
      </c>
      <c r="U52" s="23"/>
      <c r="W52" s="91"/>
      <c r="X52" s="92"/>
      <c r="Y52" s="82"/>
      <c r="AE52" s="79"/>
    </row>
    <row r="53" spans="1:31" ht="15" x14ac:dyDescent="0.25">
      <c r="A53" s="86"/>
      <c r="B53" s="86"/>
      <c r="C53" s="86"/>
      <c r="E53" s="79">
        <v>46014</v>
      </c>
      <c r="F53" s="78" t="s">
        <v>70</v>
      </c>
      <c r="G53" s="78">
        <v>465547.5</v>
      </c>
      <c r="I53" s="78" t="s">
        <v>48</v>
      </c>
      <c r="K53" s="80">
        <v>46054</v>
      </c>
      <c r="L53" s="78" t="s">
        <v>154</v>
      </c>
      <c r="M53" s="115"/>
      <c r="N53" s="110">
        <v>429741.18</v>
      </c>
      <c r="P53" s="80">
        <v>46051</v>
      </c>
      <c r="Q53" s="78" t="s">
        <v>176</v>
      </c>
      <c r="R53" s="115"/>
      <c r="S53" s="99">
        <v>11600</v>
      </c>
      <c r="U53" s="23"/>
      <c r="W53" s="91"/>
      <c r="X53" s="92"/>
      <c r="Y53" s="82"/>
      <c r="AE53" s="79"/>
    </row>
    <row r="54" spans="1:31" ht="15" x14ac:dyDescent="0.25">
      <c r="A54" s="86"/>
      <c r="B54" s="86"/>
      <c r="C54" s="86"/>
      <c r="E54" s="79">
        <v>46015</v>
      </c>
      <c r="F54" s="78" t="s">
        <v>41</v>
      </c>
      <c r="G54" s="78">
        <v>889000</v>
      </c>
      <c r="I54" s="78" t="s">
        <v>48</v>
      </c>
      <c r="K54" s="80">
        <v>46041</v>
      </c>
      <c r="L54" s="78" t="s">
        <v>125</v>
      </c>
      <c r="M54" s="115"/>
      <c r="N54" s="110">
        <v>100800</v>
      </c>
      <c r="P54" s="80">
        <v>46051</v>
      </c>
      <c r="Q54" s="78" t="s">
        <v>138</v>
      </c>
      <c r="R54" s="115"/>
      <c r="S54" s="99">
        <v>8120</v>
      </c>
      <c r="U54" s="23"/>
      <c r="W54" s="91"/>
      <c r="X54" s="92"/>
      <c r="Y54" s="82"/>
      <c r="AE54" s="79"/>
    </row>
    <row r="55" spans="1:31" ht="15" x14ac:dyDescent="0.25">
      <c r="A55" s="86"/>
      <c r="B55" s="86"/>
      <c r="C55" s="86"/>
      <c r="E55" s="79">
        <v>46018</v>
      </c>
      <c r="F55" s="78" t="s">
        <v>42</v>
      </c>
      <c r="G55" s="78">
        <v>315894.99</v>
      </c>
      <c r="I55" s="78" t="s">
        <v>48</v>
      </c>
      <c r="K55" s="80">
        <v>46041</v>
      </c>
      <c r="L55" s="78" t="s">
        <v>125</v>
      </c>
      <c r="M55" s="115"/>
      <c r="N55" s="110">
        <v>20900</v>
      </c>
      <c r="P55" s="80">
        <v>46052</v>
      </c>
      <c r="Q55" s="78" t="s">
        <v>183</v>
      </c>
      <c r="R55" s="115"/>
      <c r="S55" s="99">
        <v>33500</v>
      </c>
      <c r="U55" s="23"/>
      <c r="W55" s="91"/>
      <c r="X55" s="92"/>
      <c r="Y55" s="82"/>
      <c r="AE55" s="79"/>
    </row>
    <row r="56" spans="1:31" ht="15" x14ac:dyDescent="0.25">
      <c r="A56" s="86"/>
      <c r="B56" s="86"/>
      <c r="C56" s="86"/>
      <c r="E56" s="79">
        <v>46023</v>
      </c>
      <c r="F56" s="78" t="s">
        <v>61</v>
      </c>
      <c r="G56" s="78">
        <v>10350</v>
      </c>
      <c r="I56" s="78" t="s">
        <v>48</v>
      </c>
      <c r="K56" s="80">
        <v>46041</v>
      </c>
      <c r="L56" s="78" t="s">
        <v>158</v>
      </c>
      <c r="M56" s="115"/>
      <c r="N56" s="110">
        <v>72000</v>
      </c>
      <c r="P56" s="80">
        <v>46053</v>
      </c>
      <c r="Q56" s="78" t="s">
        <v>186</v>
      </c>
      <c r="R56" s="115"/>
      <c r="S56" s="99">
        <v>117183</v>
      </c>
      <c r="U56" s="23"/>
      <c r="W56" s="91"/>
      <c r="X56" s="92"/>
      <c r="Y56" s="82"/>
      <c r="AE56" s="79"/>
    </row>
    <row r="57" spans="1:31" ht="15" x14ac:dyDescent="0.25">
      <c r="A57" s="86"/>
      <c r="B57" s="86"/>
      <c r="C57" s="86"/>
      <c r="E57" s="79">
        <v>46024</v>
      </c>
      <c r="F57" s="78" t="s">
        <v>55</v>
      </c>
      <c r="G57" s="78">
        <v>1694686.5</v>
      </c>
      <c r="I57" s="78" t="s">
        <v>48</v>
      </c>
      <c r="K57" s="80">
        <v>46042</v>
      </c>
      <c r="L57" s="78" t="s">
        <v>160</v>
      </c>
      <c r="M57" s="115"/>
      <c r="N57" s="81">
        <v>142577.76</v>
      </c>
      <c r="P57" s="80">
        <v>46053</v>
      </c>
      <c r="Q57" s="78" t="s">
        <v>187</v>
      </c>
      <c r="R57" s="115"/>
      <c r="S57" s="99">
        <v>150000</v>
      </c>
      <c r="U57" s="23"/>
      <c r="W57" s="91"/>
      <c r="X57" s="92"/>
      <c r="Y57" s="82"/>
      <c r="AE57" s="79"/>
    </row>
    <row r="58" spans="1:31" ht="15" x14ac:dyDescent="0.25">
      <c r="A58" s="86"/>
      <c r="B58" s="86"/>
      <c r="C58" s="86"/>
      <c r="E58" s="79">
        <v>46024</v>
      </c>
      <c r="F58" s="78" t="s">
        <v>60</v>
      </c>
      <c r="G58" s="78">
        <v>120145</v>
      </c>
      <c r="I58" s="78" t="s">
        <v>48</v>
      </c>
      <c r="K58" s="80">
        <v>46042</v>
      </c>
      <c r="L58" s="78" t="s">
        <v>125</v>
      </c>
      <c r="M58" s="115"/>
      <c r="N58" s="110">
        <v>159000</v>
      </c>
      <c r="P58" s="80">
        <v>46056</v>
      </c>
      <c r="Q58" s="78" t="s">
        <v>188</v>
      </c>
      <c r="R58" s="115"/>
      <c r="S58" s="99">
        <v>58225</v>
      </c>
      <c r="U58" s="23"/>
      <c r="W58" s="91"/>
      <c r="X58" s="92"/>
      <c r="Y58" s="82"/>
      <c r="AE58" s="79"/>
    </row>
    <row r="59" spans="1:31" ht="15" x14ac:dyDescent="0.25">
      <c r="A59" s="86"/>
      <c r="B59" s="86"/>
      <c r="C59" s="86"/>
      <c r="E59" s="79">
        <v>46024</v>
      </c>
      <c r="F59" s="78" t="s">
        <v>59</v>
      </c>
      <c r="G59" s="78">
        <v>71670</v>
      </c>
      <c r="I59" s="78" t="s">
        <v>48</v>
      </c>
      <c r="K59" s="80">
        <v>46042</v>
      </c>
      <c r="L59" s="78" t="s">
        <v>117</v>
      </c>
      <c r="M59" s="115"/>
      <c r="N59" s="110">
        <v>416396</v>
      </c>
      <c r="P59" s="80">
        <v>46056</v>
      </c>
      <c r="Q59" s="107" t="s">
        <v>192</v>
      </c>
      <c r="R59" s="115"/>
      <c r="S59" s="108">
        <v>50000</v>
      </c>
      <c r="U59" s="23"/>
      <c r="W59" s="91"/>
      <c r="X59" s="92"/>
      <c r="Y59" s="82"/>
      <c r="AE59" s="79"/>
    </row>
    <row r="60" spans="1:31" ht="15" x14ac:dyDescent="0.25">
      <c r="A60" s="86"/>
      <c r="B60" s="86"/>
      <c r="C60" s="86"/>
      <c r="E60" s="79">
        <v>46027</v>
      </c>
      <c r="F60" s="78" t="s">
        <v>20</v>
      </c>
      <c r="G60" s="78">
        <v>85721</v>
      </c>
      <c r="I60" s="78" t="s">
        <v>48</v>
      </c>
      <c r="K60" s="80">
        <v>46043</v>
      </c>
      <c r="L60" s="78" t="s">
        <v>123</v>
      </c>
      <c r="M60" s="115"/>
      <c r="N60" s="110">
        <v>168000</v>
      </c>
      <c r="P60" s="80">
        <v>46056</v>
      </c>
      <c r="Q60" s="78" t="s">
        <v>138</v>
      </c>
      <c r="R60" s="115"/>
      <c r="S60" s="108">
        <v>9535</v>
      </c>
      <c r="U60" s="23"/>
      <c r="W60" s="91"/>
      <c r="X60" s="92"/>
      <c r="Y60" s="82"/>
      <c r="AE60" s="79"/>
    </row>
    <row r="61" spans="1:31" ht="15" x14ac:dyDescent="0.25">
      <c r="A61" s="86"/>
      <c r="B61" s="86"/>
      <c r="C61" s="86"/>
      <c r="E61" s="79">
        <v>46031</v>
      </c>
      <c r="F61" s="78" t="s">
        <v>54</v>
      </c>
      <c r="G61" s="78">
        <v>40000</v>
      </c>
      <c r="I61" s="78" t="s">
        <v>48</v>
      </c>
      <c r="K61" s="80">
        <v>46043</v>
      </c>
      <c r="L61" s="78" t="s">
        <v>144</v>
      </c>
      <c r="M61" s="115"/>
      <c r="N61" s="110">
        <v>45000</v>
      </c>
      <c r="P61" s="80">
        <v>46056</v>
      </c>
      <c r="Q61" s="78" t="s">
        <v>176</v>
      </c>
      <c r="R61" s="115"/>
      <c r="S61" s="108">
        <v>5500</v>
      </c>
      <c r="U61" s="23"/>
      <c r="W61" s="91"/>
      <c r="X61" s="92"/>
      <c r="Y61" s="82"/>
      <c r="AE61" s="79"/>
    </row>
    <row r="62" spans="1:31" ht="15" x14ac:dyDescent="0.25">
      <c r="A62" s="86"/>
      <c r="B62" s="86"/>
      <c r="C62" s="86"/>
      <c r="E62" s="79">
        <v>46031</v>
      </c>
      <c r="F62" s="78" t="s">
        <v>57</v>
      </c>
      <c r="G62" s="78">
        <v>1298535</v>
      </c>
      <c r="I62" s="78" t="s">
        <v>48</v>
      </c>
      <c r="K62" s="80">
        <v>46043</v>
      </c>
      <c r="L62" s="78" t="s">
        <v>162</v>
      </c>
      <c r="M62" s="115"/>
      <c r="N62" s="110">
        <v>451500</v>
      </c>
      <c r="P62" s="80">
        <v>46057</v>
      </c>
      <c r="Q62" s="107" t="s">
        <v>193</v>
      </c>
      <c r="R62" s="115"/>
      <c r="S62" s="108">
        <v>100000</v>
      </c>
      <c r="U62" s="23"/>
      <c r="W62" s="91"/>
      <c r="X62" s="92"/>
      <c r="Y62" s="82"/>
      <c r="AE62" s="79"/>
    </row>
    <row r="63" spans="1:31" ht="15" x14ac:dyDescent="0.25">
      <c r="A63" s="86"/>
      <c r="B63" s="86"/>
      <c r="C63" s="86"/>
      <c r="E63" s="79">
        <v>46032</v>
      </c>
      <c r="F63" s="78" t="s">
        <v>13</v>
      </c>
      <c r="G63" s="78">
        <v>600000</v>
      </c>
      <c r="I63" s="78" t="s">
        <v>48</v>
      </c>
      <c r="K63" s="80">
        <v>46043</v>
      </c>
      <c r="L63" s="78" t="s">
        <v>134</v>
      </c>
      <c r="M63" s="115"/>
      <c r="N63" s="110">
        <v>226500</v>
      </c>
      <c r="P63" s="80">
        <v>46059</v>
      </c>
      <c r="Q63" s="107" t="s">
        <v>194</v>
      </c>
      <c r="R63" s="115"/>
      <c r="S63" s="108">
        <v>19000</v>
      </c>
      <c r="U63" s="23"/>
      <c r="W63" s="91"/>
      <c r="X63" s="92"/>
      <c r="Y63" s="82"/>
      <c r="AE63" s="79"/>
    </row>
    <row r="64" spans="1:31" ht="15" x14ac:dyDescent="0.25">
      <c r="E64" s="79">
        <v>46032</v>
      </c>
      <c r="F64" s="78" t="s">
        <v>14</v>
      </c>
      <c r="G64" s="78">
        <v>250000</v>
      </c>
      <c r="I64" s="78" t="s">
        <v>48</v>
      </c>
      <c r="K64" s="80">
        <v>46043</v>
      </c>
      <c r="L64" s="78" t="s">
        <v>163</v>
      </c>
      <c r="M64" s="115"/>
      <c r="N64" s="110">
        <v>350000</v>
      </c>
      <c r="P64" s="80">
        <v>46055</v>
      </c>
      <c r="Q64" s="78" t="s">
        <v>192</v>
      </c>
      <c r="R64" s="115"/>
      <c r="S64" s="99">
        <v>76026.91</v>
      </c>
      <c r="U64" s="23"/>
      <c r="W64" s="91"/>
      <c r="X64" s="92"/>
      <c r="Y64" s="82"/>
      <c r="AE64" s="79"/>
    </row>
    <row r="65" spans="5:31" ht="15" x14ac:dyDescent="0.25">
      <c r="E65" s="79">
        <v>46032</v>
      </c>
      <c r="F65" s="78" t="s">
        <v>15</v>
      </c>
      <c r="G65" s="78">
        <v>500000</v>
      </c>
      <c r="I65" s="78" t="s">
        <v>48</v>
      </c>
      <c r="K65" s="80">
        <v>46044</v>
      </c>
      <c r="L65" s="78" t="s">
        <v>127</v>
      </c>
      <c r="M65" s="115"/>
      <c r="N65" s="110">
        <v>72400</v>
      </c>
      <c r="P65" s="80">
        <v>46055</v>
      </c>
      <c r="Q65" s="78" t="s">
        <v>196</v>
      </c>
      <c r="R65" s="115"/>
      <c r="S65" s="99">
        <v>7000</v>
      </c>
      <c r="U65" s="23"/>
      <c r="W65" s="91"/>
      <c r="X65" s="92"/>
      <c r="Y65" s="82"/>
      <c r="AE65" s="79"/>
    </row>
    <row r="66" spans="5:31" ht="15" x14ac:dyDescent="0.25">
      <c r="E66" s="79">
        <v>46032</v>
      </c>
      <c r="F66" s="78" t="s">
        <v>16</v>
      </c>
      <c r="G66" s="78">
        <v>150000</v>
      </c>
      <c r="I66" s="78" t="s">
        <v>48</v>
      </c>
      <c r="K66" s="80">
        <v>46044</v>
      </c>
      <c r="L66" s="78" t="s">
        <v>164</v>
      </c>
      <c r="M66" s="115"/>
      <c r="N66" s="81">
        <v>166000</v>
      </c>
      <c r="P66" s="80">
        <v>46055</v>
      </c>
      <c r="Q66" s="78" t="s">
        <v>197</v>
      </c>
      <c r="R66" s="115"/>
      <c r="S66" s="99">
        <v>55000</v>
      </c>
      <c r="U66" s="23"/>
      <c r="W66" s="91"/>
      <c r="X66" s="92"/>
      <c r="Y66" s="82"/>
      <c r="AE66" s="79"/>
    </row>
    <row r="67" spans="5:31" ht="15" x14ac:dyDescent="0.25">
      <c r="E67" s="79">
        <v>46034</v>
      </c>
      <c r="F67" s="78" t="s">
        <v>21</v>
      </c>
      <c r="G67" s="78">
        <v>1211326.93</v>
      </c>
      <c r="I67" s="78" t="s">
        <v>48</v>
      </c>
      <c r="K67" s="80">
        <v>46044</v>
      </c>
      <c r="L67" s="78" t="s">
        <v>146</v>
      </c>
      <c r="M67" s="115"/>
      <c r="N67" s="110">
        <v>105550</v>
      </c>
      <c r="P67" s="80">
        <v>46055</v>
      </c>
      <c r="Q67" s="78" t="s">
        <v>198</v>
      </c>
      <c r="R67" s="115"/>
      <c r="S67" s="99">
        <v>15000</v>
      </c>
      <c r="U67" s="23"/>
      <c r="W67" s="91"/>
      <c r="X67" s="92"/>
      <c r="Y67" s="82"/>
      <c r="AE67" s="79"/>
    </row>
    <row r="68" spans="5:31" ht="15" x14ac:dyDescent="0.25">
      <c r="E68" s="79">
        <v>46035</v>
      </c>
      <c r="F68" s="78" t="s">
        <v>59</v>
      </c>
      <c r="G68" s="78">
        <v>98566</v>
      </c>
      <c r="I68" s="78" t="s">
        <v>48</v>
      </c>
      <c r="K68" s="80">
        <v>46055</v>
      </c>
      <c r="L68" s="78" t="s">
        <v>169</v>
      </c>
      <c r="M68" s="115"/>
      <c r="N68" s="110">
        <v>400000</v>
      </c>
      <c r="P68" s="80">
        <v>46055</v>
      </c>
      <c r="Q68" s="78" t="s">
        <v>192</v>
      </c>
      <c r="R68" s="115"/>
      <c r="S68" s="99">
        <v>95000</v>
      </c>
      <c r="U68" s="23"/>
      <c r="W68" s="91"/>
      <c r="X68" s="92"/>
      <c r="Y68" s="82"/>
      <c r="AE68" s="79"/>
    </row>
    <row r="69" spans="5:31" ht="15" x14ac:dyDescent="0.25">
      <c r="E69" s="79">
        <v>46036</v>
      </c>
      <c r="F69" s="78" t="s">
        <v>80</v>
      </c>
      <c r="G69" s="78">
        <v>1582000</v>
      </c>
      <c r="I69" s="78" t="s">
        <v>48</v>
      </c>
      <c r="K69" s="80">
        <v>46055</v>
      </c>
      <c r="L69" s="78" t="s">
        <v>169</v>
      </c>
      <c r="M69" s="115"/>
      <c r="N69" s="110">
        <v>213190.39</v>
      </c>
      <c r="P69" s="80">
        <v>46055</v>
      </c>
      <c r="Q69" s="78" t="s">
        <v>199</v>
      </c>
      <c r="R69" s="115"/>
      <c r="S69" s="99">
        <v>6700</v>
      </c>
      <c r="U69" s="23"/>
      <c r="W69" s="91"/>
      <c r="X69" s="92"/>
      <c r="Y69" s="82"/>
      <c r="AE69" s="79"/>
    </row>
    <row r="70" spans="5:31" ht="15" x14ac:dyDescent="0.25">
      <c r="E70" s="79">
        <v>46038</v>
      </c>
      <c r="F70" s="78" t="s">
        <v>53</v>
      </c>
      <c r="G70" s="78">
        <v>809334.86</v>
      </c>
      <c r="I70" s="78" t="s">
        <v>48</v>
      </c>
      <c r="K70" s="80">
        <v>46044</v>
      </c>
      <c r="L70" s="78" t="s">
        <v>165</v>
      </c>
      <c r="M70" s="115"/>
      <c r="N70" s="81">
        <v>221628</v>
      </c>
      <c r="P70" s="80">
        <v>46055</v>
      </c>
      <c r="Q70" s="78" t="s">
        <v>200</v>
      </c>
      <c r="R70" s="115"/>
      <c r="S70" s="99">
        <v>5000</v>
      </c>
      <c r="U70" s="23"/>
      <c r="W70" s="91"/>
      <c r="X70" s="92"/>
      <c r="Y70" s="82"/>
      <c r="AE70" s="79"/>
    </row>
    <row r="71" spans="5:31" ht="15" x14ac:dyDescent="0.25">
      <c r="E71" s="79">
        <v>46038</v>
      </c>
      <c r="F71" s="78" t="s">
        <v>11</v>
      </c>
      <c r="G71" s="78">
        <v>446304</v>
      </c>
      <c r="I71" s="78" t="s">
        <v>48</v>
      </c>
      <c r="K71" s="80">
        <v>46044</v>
      </c>
      <c r="L71" s="78" t="s">
        <v>133</v>
      </c>
      <c r="M71" s="115"/>
      <c r="N71" s="110">
        <v>600000</v>
      </c>
      <c r="P71" s="80">
        <v>46055</v>
      </c>
      <c r="Q71" s="78" t="s">
        <v>201</v>
      </c>
      <c r="R71" s="115"/>
      <c r="S71" s="99">
        <v>55000</v>
      </c>
      <c r="U71" s="23"/>
      <c r="W71" s="91"/>
      <c r="X71" s="92"/>
      <c r="Y71" s="82"/>
      <c r="AE71" s="79"/>
    </row>
    <row r="72" spans="5:31" ht="15" x14ac:dyDescent="0.25">
      <c r="E72" s="79">
        <v>46038</v>
      </c>
      <c r="F72" s="78" t="s">
        <v>11</v>
      </c>
      <c r="G72" s="78">
        <v>410336</v>
      </c>
      <c r="I72" s="78" t="s">
        <v>48</v>
      </c>
      <c r="K72" s="80">
        <v>46044</v>
      </c>
      <c r="L72" s="78" t="s">
        <v>166</v>
      </c>
      <c r="M72" s="115"/>
      <c r="N72" s="110">
        <v>200164</v>
      </c>
      <c r="P72" s="80">
        <v>46055</v>
      </c>
      <c r="Q72" s="78" t="s">
        <v>202</v>
      </c>
      <c r="R72" s="115"/>
      <c r="S72" s="99">
        <v>35000</v>
      </c>
      <c r="U72" s="23"/>
      <c r="W72" s="91"/>
      <c r="X72" s="92"/>
      <c r="Y72" s="82"/>
      <c r="AE72" s="79"/>
    </row>
    <row r="73" spans="5:31" ht="15" x14ac:dyDescent="0.25">
      <c r="E73" s="79">
        <v>46038</v>
      </c>
      <c r="F73" s="78" t="s">
        <v>22</v>
      </c>
      <c r="G73" s="78">
        <v>92453</v>
      </c>
      <c r="I73" s="78" t="s">
        <v>48</v>
      </c>
      <c r="K73" s="80">
        <v>46044</v>
      </c>
      <c r="L73" s="78" t="s">
        <v>125</v>
      </c>
      <c r="M73" s="115"/>
      <c r="N73" s="110">
        <v>360000</v>
      </c>
      <c r="P73" s="80">
        <v>46055</v>
      </c>
      <c r="Q73" s="78" t="s">
        <v>198</v>
      </c>
      <c r="R73" s="115"/>
      <c r="S73" s="99">
        <v>15000</v>
      </c>
      <c r="U73" s="23"/>
      <c r="W73" s="91"/>
      <c r="X73" s="92"/>
      <c r="Y73" s="82"/>
      <c r="AE73" s="79"/>
    </row>
    <row r="74" spans="5:31" ht="15" x14ac:dyDescent="0.25">
      <c r="E74" s="79">
        <v>46038</v>
      </c>
      <c r="F74" s="78" t="s">
        <v>23</v>
      </c>
      <c r="G74" s="78">
        <v>92453</v>
      </c>
      <c r="I74" s="78" t="s">
        <v>48</v>
      </c>
      <c r="K74" s="80">
        <v>46045</v>
      </c>
      <c r="L74" s="78" t="s">
        <v>167</v>
      </c>
      <c r="M74" s="115"/>
      <c r="N74" s="81">
        <v>152000</v>
      </c>
      <c r="P74" s="80">
        <v>46055</v>
      </c>
      <c r="Q74" s="78" t="s">
        <v>200</v>
      </c>
      <c r="R74" s="115"/>
      <c r="S74" s="99">
        <v>7000</v>
      </c>
      <c r="U74" s="23"/>
      <c r="W74" s="91"/>
      <c r="X74" s="92"/>
      <c r="Y74" s="82"/>
      <c r="AE74" s="79"/>
    </row>
    <row r="75" spans="5:31" ht="15" x14ac:dyDescent="0.25">
      <c r="E75" s="79">
        <v>46038</v>
      </c>
      <c r="F75" s="78" t="s">
        <v>151</v>
      </c>
      <c r="G75" s="78">
        <v>75000</v>
      </c>
      <c r="I75" s="78" t="s">
        <v>48</v>
      </c>
      <c r="K75" s="80">
        <v>46044</v>
      </c>
      <c r="L75" s="78" t="s">
        <v>168</v>
      </c>
      <c r="M75" s="115"/>
      <c r="N75" s="81">
        <v>243552</v>
      </c>
      <c r="P75" s="80">
        <v>46055</v>
      </c>
      <c r="Q75" s="78" t="s">
        <v>203</v>
      </c>
      <c r="R75" s="115"/>
      <c r="S75" s="99">
        <v>20000</v>
      </c>
      <c r="U75" s="23"/>
      <c r="W75" s="91"/>
      <c r="X75" s="92"/>
      <c r="Y75" s="82"/>
      <c r="AE75" s="79"/>
    </row>
    <row r="76" spans="5:31" ht="15" x14ac:dyDescent="0.25">
      <c r="E76" s="79">
        <v>46038</v>
      </c>
      <c r="F76" s="78" t="s">
        <v>40</v>
      </c>
      <c r="G76" s="78">
        <v>1498822.21</v>
      </c>
      <c r="I76" s="78" t="s">
        <v>48</v>
      </c>
      <c r="K76" s="80">
        <v>46044</v>
      </c>
      <c r="L76" s="78" t="s">
        <v>109</v>
      </c>
      <c r="M76" s="115"/>
      <c r="N76" s="81">
        <v>150000</v>
      </c>
      <c r="P76" s="80">
        <v>46055</v>
      </c>
      <c r="Q76" s="78" t="s">
        <v>204</v>
      </c>
      <c r="R76" s="115"/>
      <c r="S76" s="99">
        <v>44600</v>
      </c>
      <c r="U76" s="23"/>
      <c r="W76" s="91"/>
      <c r="X76" s="92"/>
      <c r="Y76" s="82"/>
      <c r="AE76" s="79"/>
    </row>
    <row r="77" spans="5:31" ht="15" x14ac:dyDescent="0.25">
      <c r="E77" s="79">
        <v>46041</v>
      </c>
      <c r="F77" s="78" t="s">
        <v>42</v>
      </c>
      <c r="G77" s="78">
        <v>1440016.96</v>
      </c>
      <c r="I77" s="78" t="s">
        <v>48</v>
      </c>
      <c r="K77" s="80">
        <v>46062</v>
      </c>
      <c r="L77" s="78" t="s">
        <v>155</v>
      </c>
      <c r="M77" s="115"/>
      <c r="N77" s="110">
        <v>654078.56999999995</v>
      </c>
      <c r="P77" s="80">
        <v>46055</v>
      </c>
      <c r="Q77" s="78" t="s">
        <v>192</v>
      </c>
      <c r="R77" s="115"/>
      <c r="S77" s="99">
        <v>94000</v>
      </c>
      <c r="U77" s="23"/>
      <c r="W77" s="91"/>
      <c r="X77" s="92"/>
      <c r="Y77" s="82"/>
      <c r="AE77" s="79"/>
    </row>
    <row r="78" spans="5:31" ht="15" x14ac:dyDescent="0.25">
      <c r="E78" s="79">
        <v>46041</v>
      </c>
      <c r="F78" s="78" t="s">
        <v>159</v>
      </c>
      <c r="G78" s="78">
        <v>176625.77</v>
      </c>
      <c r="I78" s="78" t="s">
        <v>48</v>
      </c>
      <c r="K78" s="80">
        <v>46044</v>
      </c>
      <c r="L78" s="78" t="s">
        <v>125</v>
      </c>
      <c r="M78" s="115"/>
      <c r="N78" s="110">
        <v>102000</v>
      </c>
      <c r="P78" s="80">
        <v>46055</v>
      </c>
      <c r="Q78" s="78" t="s">
        <v>205</v>
      </c>
      <c r="R78" s="115"/>
      <c r="S78" s="99">
        <v>8000</v>
      </c>
      <c r="U78" s="23"/>
      <c r="W78" s="91"/>
      <c r="X78" s="92"/>
      <c r="Y78" s="82"/>
      <c r="AE78" s="79"/>
    </row>
    <row r="79" spans="5:31" ht="15" x14ac:dyDescent="0.25">
      <c r="E79" s="79">
        <v>46042</v>
      </c>
      <c r="F79" s="78" t="s">
        <v>17</v>
      </c>
      <c r="G79" s="78">
        <v>401600</v>
      </c>
      <c r="I79" s="78" t="s">
        <v>48</v>
      </c>
      <c r="K79" s="80">
        <v>46062</v>
      </c>
      <c r="L79" s="78" t="s">
        <v>154</v>
      </c>
      <c r="M79" s="115"/>
      <c r="N79" s="110">
        <v>308500</v>
      </c>
      <c r="P79" s="80">
        <v>46058</v>
      </c>
      <c r="Q79" s="78" t="s">
        <v>201</v>
      </c>
      <c r="R79" s="115"/>
      <c r="S79" s="99">
        <v>50000</v>
      </c>
      <c r="U79" s="23"/>
      <c r="W79" s="91"/>
      <c r="X79" s="92"/>
      <c r="Y79" s="82"/>
      <c r="AE79" s="79"/>
    </row>
    <row r="80" spans="5:31" ht="15" x14ac:dyDescent="0.25">
      <c r="E80" s="79">
        <v>46044</v>
      </c>
      <c r="F80" s="78" t="s">
        <v>62</v>
      </c>
      <c r="G80" s="78">
        <v>93593</v>
      </c>
      <c r="I80" s="78" t="s">
        <v>48</v>
      </c>
      <c r="K80" s="80">
        <v>46045</v>
      </c>
      <c r="L80" s="78" t="s">
        <v>172</v>
      </c>
      <c r="M80" s="115"/>
      <c r="N80" s="110">
        <v>280000</v>
      </c>
      <c r="P80" s="80">
        <v>46059</v>
      </c>
      <c r="Q80" s="78" t="s">
        <v>206</v>
      </c>
      <c r="R80" s="115"/>
      <c r="S80" s="99">
        <v>30000</v>
      </c>
      <c r="U80" s="23"/>
      <c r="W80" s="91"/>
      <c r="X80" s="92"/>
      <c r="Y80" s="82"/>
      <c r="AE80" s="79"/>
    </row>
    <row r="81" spans="5:31" ht="15" x14ac:dyDescent="0.25">
      <c r="E81" s="79">
        <v>46046</v>
      </c>
      <c r="F81" s="78" t="s">
        <v>41</v>
      </c>
      <c r="G81" s="78">
        <v>879150</v>
      </c>
      <c r="I81" s="78" t="s">
        <v>48</v>
      </c>
      <c r="K81" s="80">
        <v>46045</v>
      </c>
      <c r="L81" s="78" t="s">
        <v>125</v>
      </c>
      <c r="M81" s="115"/>
      <c r="N81" s="110">
        <v>60000</v>
      </c>
      <c r="P81" s="80">
        <v>46059</v>
      </c>
      <c r="Q81" s="78" t="s">
        <v>207</v>
      </c>
      <c r="R81" s="115"/>
      <c r="S81" s="99">
        <v>140000</v>
      </c>
      <c r="U81" s="23"/>
      <c r="W81" s="91"/>
      <c r="X81" s="92"/>
      <c r="Y81" s="82"/>
      <c r="AE81" s="79"/>
    </row>
    <row r="82" spans="5:31" ht="15" x14ac:dyDescent="0.25">
      <c r="E82" s="79">
        <v>46047</v>
      </c>
      <c r="F82" s="78" t="s">
        <v>19</v>
      </c>
      <c r="G82" s="78">
        <v>174636</v>
      </c>
      <c r="I82" s="78" t="s">
        <v>48</v>
      </c>
      <c r="K82" s="80">
        <v>46045</v>
      </c>
      <c r="L82" s="78" t="s">
        <v>125</v>
      </c>
      <c r="M82" s="115"/>
      <c r="N82" s="110">
        <v>105314</v>
      </c>
      <c r="P82" s="80">
        <v>46059</v>
      </c>
      <c r="Q82" s="78" t="s">
        <v>208</v>
      </c>
      <c r="R82" s="115"/>
      <c r="S82" s="99">
        <v>26000</v>
      </c>
      <c r="U82" s="23"/>
      <c r="W82" s="91"/>
      <c r="X82" s="92"/>
      <c r="Y82" s="82"/>
      <c r="AE82" s="79"/>
    </row>
    <row r="83" spans="5:31" ht="15" x14ac:dyDescent="0.25">
      <c r="E83" s="79">
        <v>46049</v>
      </c>
      <c r="F83" s="78" t="s">
        <v>42</v>
      </c>
      <c r="G83" s="78">
        <v>303014</v>
      </c>
      <c r="I83" s="78" t="s">
        <v>48</v>
      </c>
      <c r="K83" s="80">
        <v>46045</v>
      </c>
      <c r="L83" s="78" t="s">
        <v>125</v>
      </c>
      <c r="M83" s="115"/>
      <c r="N83" s="110">
        <v>150000</v>
      </c>
      <c r="P83" s="80">
        <v>46059</v>
      </c>
      <c r="Q83" s="78" t="s">
        <v>199</v>
      </c>
      <c r="R83" s="115"/>
      <c r="S83" s="99">
        <v>35000</v>
      </c>
      <c r="U83" s="23"/>
      <c r="W83" s="91"/>
      <c r="X83" s="92"/>
      <c r="Y83" s="82"/>
      <c r="AE83" s="79"/>
    </row>
    <row r="84" spans="5:31" ht="15" x14ac:dyDescent="0.25">
      <c r="E84" s="79">
        <v>46055</v>
      </c>
      <c r="F84" s="78" t="s">
        <v>55</v>
      </c>
      <c r="G84" s="78">
        <v>1774445.61</v>
      </c>
      <c r="I84" s="78" t="s">
        <v>48</v>
      </c>
      <c r="K84" s="80">
        <v>46048</v>
      </c>
      <c r="L84" s="78" t="s">
        <v>147</v>
      </c>
      <c r="M84" s="115"/>
      <c r="N84" s="110">
        <v>898225</v>
      </c>
      <c r="P84" s="80">
        <v>46059</v>
      </c>
      <c r="Q84" s="78" t="s">
        <v>192</v>
      </c>
      <c r="R84" s="115"/>
      <c r="S84" s="99">
        <v>100000</v>
      </c>
      <c r="U84" s="23"/>
      <c r="W84" s="91"/>
      <c r="X84" s="92"/>
      <c r="Y84" s="82"/>
      <c r="AE84" s="79"/>
    </row>
    <row r="85" spans="5:31" ht="15" x14ac:dyDescent="0.25">
      <c r="E85" s="79">
        <v>46058</v>
      </c>
      <c r="F85" s="78" t="s">
        <v>20</v>
      </c>
      <c r="G85" s="78">
        <v>87936</v>
      </c>
      <c r="I85" s="78" t="s">
        <v>48</v>
      </c>
      <c r="K85" s="80">
        <v>46048</v>
      </c>
      <c r="L85" s="78" t="s">
        <v>174</v>
      </c>
      <c r="M85" s="115"/>
      <c r="N85" s="110">
        <v>168780</v>
      </c>
      <c r="P85" s="80">
        <v>46062</v>
      </c>
      <c r="Q85" s="78" t="s">
        <v>176</v>
      </c>
      <c r="R85" s="115"/>
      <c r="S85" s="99">
        <v>11800</v>
      </c>
      <c r="U85" s="23"/>
      <c r="W85" s="91"/>
      <c r="X85" s="92"/>
      <c r="Y85" s="82"/>
      <c r="AE85" s="79"/>
    </row>
    <row r="86" spans="5:31" ht="15" x14ac:dyDescent="0.25">
      <c r="E86" s="79">
        <v>46059</v>
      </c>
      <c r="F86" s="78" t="s">
        <v>54</v>
      </c>
      <c r="G86" s="78">
        <v>236.04</v>
      </c>
      <c r="H86" s="78">
        <v>8.27</v>
      </c>
      <c r="I86" s="78" t="s">
        <v>48</v>
      </c>
      <c r="K86" s="80">
        <v>46048</v>
      </c>
      <c r="L86" s="78" t="s">
        <v>136</v>
      </c>
      <c r="M86" s="115"/>
      <c r="N86" s="81">
        <v>32000</v>
      </c>
      <c r="P86" s="80">
        <v>46062</v>
      </c>
      <c r="Q86" s="78" t="s">
        <v>186</v>
      </c>
      <c r="R86" s="115"/>
      <c r="S86" s="99">
        <v>200000</v>
      </c>
      <c r="U86" s="23"/>
      <c r="W86" s="91"/>
      <c r="X86" s="92"/>
      <c r="Y86" s="82"/>
      <c r="AE86" s="79"/>
    </row>
    <row r="87" spans="5:31" ht="15" x14ac:dyDescent="0.25">
      <c r="E87" s="79">
        <v>46059</v>
      </c>
      <c r="F87" s="78" t="s">
        <v>57</v>
      </c>
      <c r="G87" s="78">
        <v>7337516.5700000003</v>
      </c>
      <c r="I87" s="78" t="s">
        <v>48</v>
      </c>
      <c r="K87" s="80">
        <v>46049</v>
      </c>
      <c r="L87" s="78" t="s">
        <v>177</v>
      </c>
      <c r="M87" s="115"/>
      <c r="N87" s="110">
        <v>548560.76</v>
      </c>
      <c r="P87" s="80">
        <v>46063</v>
      </c>
      <c r="Q87" s="78" t="s">
        <v>212</v>
      </c>
      <c r="R87" s="115"/>
      <c r="S87" s="99">
        <v>95000</v>
      </c>
      <c r="U87" s="23"/>
      <c r="W87" s="91"/>
      <c r="X87" s="92"/>
      <c r="Y87" s="82"/>
      <c r="AE87" s="79"/>
    </row>
    <row r="88" spans="5:31" ht="15" x14ac:dyDescent="0.25">
      <c r="E88" s="79">
        <v>46060</v>
      </c>
      <c r="F88" s="78" t="s">
        <v>38</v>
      </c>
      <c r="G88" s="78">
        <v>75577.73</v>
      </c>
      <c r="I88" s="78" t="s">
        <v>48</v>
      </c>
      <c r="K88" s="80">
        <v>46049</v>
      </c>
      <c r="L88" s="78" t="s">
        <v>117</v>
      </c>
      <c r="M88" s="115"/>
      <c r="N88" s="112">
        <v>450000</v>
      </c>
      <c r="P88" s="80">
        <v>46063</v>
      </c>
      <c r="Q88" s="78" t="s">
        <v>152</v>
      </c>
      <c r="R88" s="115"/>
      <c r="S88" s="99">
        <v>80000</v>
      </c>
      <c r="U88" s="23"/>
      <c r="W88" s="91"/>
      <c r="X88" s="92"/>
      <c r="Y88" s="82"/>
      <c r="AE88" s="79"/>
    </row>
    <row r="89" spans="5:31" ht="15" x14ac:dyDescent="0.25">
      <c r="E89" s="79">
        <v>46062</v>
      </c>
      <c r="F89" s="78" t="s">
        <v>58</v>
      </c>
      <c r="G89" s="78">
        <v>41238.629999999997</v>
      </c>
      <c r="I89" s="78" t="s">
        <v>48</v>
      </c>
      <c r="K89" s="80">
        <v>46049</v>
      </c>
      <c r="L89" s="78" t="s">
        <v>125</v>
      </c>
      <c r="M89" s="115"/>
      <c r="N89" s="110">
        <v>330000</v>
      </c>
      <c r="P89" s="80">
        <v>46063</v>
      </c>
      <c r="Q89" s="78" t="s">
        <v>176</v>
      </c>
      <c r="R89" s="115"/>
      <c r="S89" s="99">
        <v>11000</v>
      </c>
      <c r="U89" s="23"/>
      <c r="W89" s="91"/>
      <c r="X89" s="92"/>
      <c r="Y89" s="82"/>
      <c r="AE89" s="79"/>
    </row>
    <row r="90" spans="5:31" ht="15" x14ac:dyDescent="0.25">
      <c r="E90" s="79">
        <v>46063</v>
      </c>
      <c r="F90" s="78" t="s">
        <v>13</v>
      </c>
      <c r="G90" s="78">
        <v>600000</v>
      </c>
      <c r="I90" s="78" t="s">
        <v>48</v>
      </c>
      <c r="K90" s="80">
        <v>46050</v>
      </c>
      <c r="L90" s="78" t="s">
        <v>178</v>
      </c>
      <c r="M90" s="115"/>
      <c r="N90" s="110">
        <v>60007.75</v>
      </c>
      <c r="P90" s="80">
        <v>46063</v>
      </c>
      <c r="Q90" s="78" t="s">
        <v>213</v>
      </c>
      <c r="R90" s="115"/>
      <c r="S90" s="99">
        <v>350000</v>
      </c>
      <c r="U90" s="23"/>
      <c r="W90" s="91"/>
      <c r="X90" s="92"/>
      <c r="Y90" s="82"/>
      <c r="AE90" s="79"/>
    </row>
    <row r="91" spans="5:31" ht="15" x14ac:dyDescent="0.25">
      <c r="E91" s="79">
        <v>46063</v>
      </c>
      <c r="F91" s="78" t="s">
        <v>14</v>
      </c>
      <c r="G91" s="78">
        <v>350000</v>
      </c>
      <c r="I91" s="78" t="s">
        <v>48</v>
      </c>
      <c r="K91" s="80">
        <v>46050</v>
      </c>
      <c r="L91" s="78" t="s">
        <v>178</v>
      </c>
      <c r="M91" s="115"/>
      <c r="N91" s="110">
        <v>93000</v>
      </c>
      <c r="P91" s="80">
        <v>46064</v>
      </c>
      <c r="Q91" s="78" t="s">
        <v>215</v>
      </c>
      <c r="R91" s="115"/>
      <c r="S91" s="99">
        <v>3298000</v>
      </c>
      <c r="U91" s="23"/>
      <c r="W91" s="91"/>
      <c r="X91" s="92"/>
      <c r="Y91" s="82"/>
      <c r="AE91" s="79"/>
    </row>
    <row r="92" spans="5:31" ht="15" x14ac:dyDescent="0.25">
      <c r="E92" s="79">
        <v>46063</v>
      </c>
      <c r="F92" s="78" t="s">
        <v>15</v>
      </c>
      <c r="G92" s="78">
        <v>550000</v>
      </c>
      <c r="I92" s="78" t="s">
        <v>48</v>
      </c>
      <c r="K92" s="80">
        <v>46050</v>
      </c>
      <c r="L92" s="78" t="s">
        <v>94</v>
      </c>
      <c r="M92" s="115"/>
      <c r="N92" s="81">
        <v>630000</v>
      </c>
      <c r="P92" s="80">
        <v>46064</v>
      </c>
      <c r="Q92" s="78" t="s">
        <v>171</v>
      </c>
      <c r="R92" s="115"/>
      <c r="S92" s="99">
        <v>146000</v>
      </c>
      <c r="U92" s="23"/>
      <c r="W92" s="91"/>
      <c r="X92" s="92"/>
      <c r="Y92" s="82"/>
      <c r="AE92" s="79"/>
    </row>
    <row r="93" spans="5:31" ht="15" x14ac:dyDescent="0.25">
      <c r="E93" s="79">
        <v>46063</v>
      </c>
      <c r="F93" s="78" t="s">
        <v>16</v>
      </c>
      <c r="G93" s="78">
        <v>150000</v>
      </c>
      <c r="I93" s="78" t="s">
        <v>48</v>
      </c>
      <c r="K93" s="80">
        <v>46050</v>
      </c>
      <c r="L93" s="78" t="s">
        <v>179</v>
      </c>
      <c r="M93" s="115"/>
      <c r="N93" s="110">
        <v>550000</v>
      </c>
      <c r="P93" s="80">
        <v>46064</v>
      </c>
      <c r="Q93" s="78" t="s">
        <v>216</v>
      </c>
      <c r="R93" s="115"/>
      <c r="S93" s="99">
        <v>57000</v>
      </c>
      <c r="U93" s="23"/>
      <c r="W93" s="91"/>
      <c r="X93" s="92"/>
      <c r="Y93" s="82"/>
      <c r="AE93" s="79"/>
    </row>
    <row r="94" spans="5:31" ht="15" x14ac:dyDescent="0.25">
      <c r="E94" s="79">
        <v>46064</v>
      </c>
      <c r="F94" s="78" t="s">
        <v>59</v>
      </c>
      <c r="G94" s="78">
        <v>86512</v>
      </c>
      <c r="I94" s="78" t="s">
        <v>48</v>
      </c>
      <c r="K94" s="80">
        <v>46050</v>
      </c>
      <c r="L94" s="78" t="s">
        <v>180</v>
      </c>
      <c r="M94" s="115"/>
      <c r="N94" s="81">
        <v>475800</v>
      </c>
      <c r="P94" s="80">
        <v>46064</v>
      </c>
      <c r="Q94" s="78" t="s">
        <v>208</v>
      </c>
      <c r="R94" s="115"/>
      <c r="S94" s="99">
        <v>16000</v>
      </c>
      <c r="U94" s="23"/>
      <c r="W94" s="91"/>
      <c r="X94" s="92"/>
      <c r="Y94" s="82"/>
      <c r="AE94" s="79"/>
    </row>
    <row r="95" spans="5:31" ht="15" x14ac:dyDescent="0.25">
      <c r="E95" s="79">
        <v>46065</v>
      </c>
      <c r="F95" s="78" t="s">
        <v>21</v>
      </c>
      <c r="G95" s="78">
        <v>860061</v>
      </c>
      <c r="I95" s="78" t="s">
        <v>48</v>
      </c>
      <c r="K95" s="80">
        <v>46050</v>
      </c>
      <c r="L95" s="78" t="s">
        <v>130</v>
      </c>
      <c r="M95" s="115"/>
      <c r="N95" s="110">
        <v>535872</v>
      </c>
      <c r="P95" s="80">
        <v>46065</v>
      </c>
      <c r="Q95" s="78" t="s">
        <v>126</v>
      </c>
      <c r="R95" s="115"/>
      <c r="S95" s="99">
        <v>36000</v>
      </c>
      <c r="U95" s="23"/>
      <c r="W95" s="91"/>
      <c r="X95" s="92"/>
      <c r="Y95" s="82"/>
      <c r="AE95" s="79"/>
    </row>
    <row r="96" spans="5:31" ht="15" x14ac:dyDescent="0.25">
      <c r="E96" s="79">
        <v>46066</v>
      </c>
      <c r="F96" s="78" t="s">
        <v>53</v>
      </c>
      <c r="G96" s="78">
        <v>1036086.27</v>
      </c>
      <c r="I96" s="78" t="s">
        <v>48</v>
      </c>
      <c r="K96" s="80">
        <v>46050</v>
      </c>
      <c r="L96" s="78" t="s">
        <v>134</v>
      </c>
      <c r="M96" s="115"/>
      <c r="N96" s="81">
        <v>118000</v>
      </c>
      <c r="P96" s="80">
        <v>46065</v>
      </c>
      <c r="Q96" s="78" t="s">
        <v>186</v>
      </c>
      <c r="R96" s="115"/>
      <c r="S96" s="99">
        <v>51092.001380637288</v>
      </c>
      <c r="U96" s="23"/>
      <c r="W96" s="91"/>
      <c r="X96" s="92"/>
      <c r="Y96" s="82"/>
      <c r="AE96" s="79"/>
    </row>
    <row r="97" spans="5:31" ht="15" x14ac:dyDescent="0.25">
      <c r="E97" s="79">
        <v>46066</v>
      </c>
      <c r="F97" s="78" t="s">
        <v>64</v>
      </c>
      <c r="G97" s="78">
        <v>123878</v>
      </c>
      <c r="I97" s="78" t="s">
        <v>48</v>
      </c>
      <c r="K97" s="80">
        <v>46069</v>
      </c>
      <c r="L97" s="78" t="s">
        <v>155</v>
      </c>
      <c r="M97" s="115"/>
      <c r="N97" s="110">
        <v>1203338.56</v>
      </c>
      <c r="P97" s="80">
        <v>46065</v>
      </c>
      <c r="Q97" s="78" t="s">
        <v>221</v>
      </c>
      <c r="R97" s="115"/>
      <c r="S97" s="99">
        <v>100000</v>
      </c>
      <c r="U97" s="23"/>
      <c r="W97" s="91"/>
      <c r="X97" s="92"/>
      <c r="Y97" s="82"/>
      <c r="AE97" s="79"/>
    </row>
    <row r="98" spans="5:31" ht="15" x14ac:dyDescent="0.25">
      <c r="E98" s="79">
        <v>46067</v>
      </c>
      <c r="F98" s="78" t="s">
        <v>80</v>
      </c>
      <c r="G98" s="78">
        <v>1582000</v>
      </c>
      <c r="I98" s="78" t="s">
        <v>48</v>
      </c>
      <c r="K98" s="80">
        <v>46050</v>
      </c>
      <c r="L98" s="78" t="s">
        <v>181</v>
      </c>
      <c r="M98" s="115"/>
      <c r="N98" s="81">
        <v>55000</v>
      </c>
      <c r="P98" s="80">
        <v>46065</v>
      </c>
      <c r="Q98" s="78" t="s">
        <v>176</v>
      </c>
      <c r="R98" s="115"/>
      <c r="S98" s="99">
        <v>10000</v>
      </c>
      <c r="U98" s="23"/>
      <c r="W98" s="91"/>
      <c r="X98" s="92"/>
      <c r="Y98" s="82"/>
      <c r="AE98" s="79"/>
    </row>
    <row r="99" spans="5:31" ht="15" x14ac:dyDescent="0.25">
      <c r="E99" s="79">
        <v>46069</v>
      </c>
      <c r="F99" s="78" t="s">
        <v>11</v>
      </c>
      <c r="G99" s="78">
        <v>446304</v>
      </c>
      <c r="I99" s="78" t="s">
        <v>48</v>
      </c>
      <c r="K99" s="80">
        <v>46051</v>
      </c>
      <c r="L99" s="78" t="s">
        <v>144</v>
      </c>
      <c r="M99" s="115"/>
      <c r="N99" s="81">
        <v>30000</v>
      </c>
      <c r="P99" s="80">
        <v>46065</v>
      </c>
      <c r="Q99" s="78" t="s">
        <v>138</v>
      </c>
      <c r="R99" s="115"/>
      <c r="S99" s="99">
        <v>5623</v>
      </c>
      <c r="U99" s="23"/>
      <c r="W99" s="91"/>
      <c r="X99" s="92"/>
      <c r="Y99" s="82"/>
      <c r="AE99" s="79"/>
    </row>
    <row r="100" spans="5:31" ht="15" x14ac:dyDescent="0.25">
      <c r="E100" s="79">
        <v>46069</v>
      </c>
      <c r="F100" s="78" t="s">
        <v>11</v>
      </c>
      <c r="G100" s="78">
        <v>410336</v>
      </c>
      <c r="I100" s="78" t="s">
        <v>48</v>
      </c>
      <c r="K100" s="80">
        <v>46051</v>
      </c>
      <c r="L100" s="78" t="s">
        <v>149</v>
      </c>
      <c r="M100" s="115"/>
      <c r="N100" s="81">
        <v>44000</v>
      </c>
      <c r="P100" s="80">
        <v>46066</v>
      </c>
      <c r="Q100" s="78" t="s">
        <v>223</v>
      </c>
      <c r="R100" s="115"/>
      <c r="S100" s="99">
        <v>2450000</v>
      </c>
      <c r="U100" s="23"/>
      <c r="W100" s="91"/>
      <c r="X100" s="92"/>
      <c r="Y100" s="82"/>
      <c r="AE100" s="79"/>
    </row>
    <row r="101" spans="5:31" ht="15" x14ac:dyDescent="0.25">
      <c r="E101" s="79">
        <v>46071</v>
      </c>
      <c r="F101" s="78" t="s">
        <v>159</v>
      </c>
      <c r="G101" s="78">
        <v>50000</v>
      </c>
      <c r="I101" s="78" t="s">
        <v>48</v>
      </c>
      <c r="K101" s="80">
        <v>46051</v>
      </c>
      <c r="L101" s="78" t="s">
        <v>128</v>
      </c>
      <c r="M101" s="115"/>
      <c r="N101" s="110">
        <v>80000</v>
      </c>
      <c r="P101" s="80">
        <v>46066</v>
      </c>
      <c r="Q101" s="78" t="s">
        <v>138</v>
      </c>
      <c r="R101" s="115"/>
      <c r="S101" s="99">
        <v>10000</v>
      </c>
      <c r="U101" s="23"/>
      <c r="W101" s="91"/>
      <c r="X101" s="92"/>
      <c r="Y101" s="82"/>
      <c r="AE101" s="79"/>
    </row>
    <row r="102" spans="5:31" ht="15" x14ac:dyDescent="0.25">
      <c r="E102" s="79">
        <v>46072</v>
      </c>
      <c r="F102" s="78" t="s">
        <v>42</v>
      </c>
      <c r="G102" s="78">
        <v>1316757</v>
      </c>
      <c r="I102" s="78" t="s">
        <v>48</v>
      </c>
      <c r="K102" s="80">
        <v>46051</v>
      </c>
      <c r="L102" s="78" t="s">
        <v>182</v>
      </c>
      <c r="M102" s="115"/>
      <c r="N102" s="81">
        <v>354300</v>
      </c>
      <c r="P102" s="80">
        <v>46066</v>
      </c>
      <c r="Q102" s="78" t="s">
        <v>112</v>
      </c>
      <c r="R102" s="115"/>
      <c r="S102" s="99">
        <v>89734</v>
      </c>
      <c r="U102" s="23"/>
      <c r="W102" s="91"/>
      <c r="X102" s="92"/>
      <c r="Y102" s="82"/>
      <c r="AE102" s="79"/>
    </row>
    <row r="103" spans="5:31" ht="15" x14ac:dyDescent="0.25">
      <c r="E103" s="79">
        <v>46073</v>
      </c>
      <c r="F103" s="78" t="s">
        <v>17</v>
      </c>
      <c r="G103" s="78">
        <v>400207</v>
      </c>
      <c r="I103" s="78" t="s">
        <v>48</v>
      </c>
      <c r="K103" s="80">
        <v>46051</v>
      </c>
      <c r="L103" s="78" t="s">
        <v>109</v>
      </c>
      <c r="M103" s="115"/>
      <c r="N103" s="110">
        <v>233445.88</v>
      </c>
      <c r="P103" s="80">
        <v>46066</v>
      </c>
      <c r="Q103" s="78" t="s">
        <v>157</v>
      </c>
      <c r="R103" s="115"/>
      <c r="S103" s="99">
        <v>725000</v>
      </c>
      <c r="U103" s="23"/>
      <c r="W103" s="91"/>
      <c r="X103" s="92"/>
      <c r="Y103" s="82"/>
      <c r="AE103" s="79"/>
    </row>
    <row r="104" spans="5:31" ht="15" x14ac:dyDescent="0.25">
      <c r="E104" s="79">
        <v>46075</v>
      </c>
      <c r="F104" s="78" t="s">
        <v>62</v>
      </c>
      <c r="G104" s="78">
        <v>93593</v>
      </c>
      <c r="I104" s="78" t="s">
        <v>48</v>
      </c>
      <c r="K104" s="80">
        <v>46052</v>
      </c>
      <c r="L104" s="78" t="s">
        <v>149</v>
      </c>
      <c r="M104" s="115"/>
      <c r="N104" s="110">
        <v>132000</v>
      </c>
      <c r="P104" s="80">
        <v>46072</v>
      </c>
      <c r="Q104" s="78" t="s">
        <v>138</v>
      </c>
      <c r="R104" s="115"/>
      <c r="S104" s="99">
        <v>8000</v>
      </c>
      <c r="U104" s="23"/>
      <c r="W104" s="91"/>
      <c r="X104" s="92"/>
      <c r="Y104" s="82"/>
      <c r="AE104" s="79"/>
    </row>
    <row r="105" spans="5:31" ht="15" x14ac:dyDescent="0.25">
      <c r="E105" s="79">
        <v>46077</v>
      </c>
      <c r="F105" s="78" t="s">
        <v>41</v>
      </c>
      <c r="G105" s="78">
        <v>872520</v>
      </c>
      <c r="I105" s="78" t="s">
        <v>48</v>
      </c>
      <c r="K105" s="80">
        <v>46052</v>
      </c>
      <c r="L105" s="78" t="s">
        <v>158</v>
      </c>
      <c r="M105" s="115"/>
      <c r="N105" s="81">
        <v>27500</v>
      </c>
      <c r="P105" s="80">
        <v>46072</v>
      </c>
      <c r="Q105" s="78" t="s">
        <v>176</v>
      </c>
      <c r="R105" s="115"/>
      <c r="S105" s="99">
        <v>8500</v>
      </c>
      <c r="U105" s="23"/>
      <c r="W105" s="91"/>
      <c r="X105" s="92"/>
      <c r="Y105" s="82"/>
      <c r="AE105" s="79"/>
    </row>
    <row r="106" spans="5:31" ht="15" x14ac:dyDescent="0.25">
      <c r="E106" s="79">
        <v>46080</v>
      </c>
      <c r="F106" s="78" t="s">
        <v>42</v>
      </c>
      <c r="G106" s="78">
        <v>302729</v>
      </c>
      <c r="I106" s="78" t="s">
        <v>48</v>
      </c>
      <c r="K106" s="80">
        <v>46052</v>
      </c>
      <c r="L106" s="78" t="s">
        <v>143</v>
      </c>
      <c r="M106" s="115"/>
      <c r="N106" s="110">
        <v>126000</v>
      </c>
      <c r="P106" s="80">
        <v>46072</v>
      </c>
      <c r="Q106" s="78" t="s">
        <v>227</v>
      </c>
      <c r="R106" s="115"/>
      <c r="S106" s="99">
        <v>95000</v>
      </c>
      <c r="U106" s="23"/>
      <c r="W106" s="91"/>
      <c r="X106" s="92"/>
      <c r="Y106" s="82"/>
      <c r="AE106" s="79"/>
    </row>
    <row r="107" spans="5:31" ht="15" x14ac:dyDescent="0.25">
      <c r="E107" s="79">
        <v>46083</v>
      </c>
      <c r="F107" s="78" t="s">
        <v>55</v>
      </c>
      <c r="G107" s="78">
        <v>1077646.26</v>
      </c>
      <c r="I107" s="78" t="s">
        <v>48</v>
      </c>
      <c r="K107" s="80">
        <v>46052</v>
      </c>
      <c r="L107" s="78" t="s">
        <v>117</v>
      </c>
      <c r="M107" s="115"/>
      <c r="N107" s="110">
        <v>38000</v>
      </c>
      <c r="P107" s="80">
        <v>46072</v>
      </c>
      <c r="Q107" s="78" t="s">
        <v>228</v>
      </c>
      <c r="R107" s="115"/>
      <c r="S107" s="99">
        <v>75000</v>
      </c>
      <c r="U107" s="23"/>
      <c r="W107" s="91"/>
      <c r="X107" s="92"/>
      <c r="Y107" s="82"/>
      <c r="AE107" s="79"/>
    </row>
    <row r="108" spans="5:31" ht="15" x14ac:dyDescent="0.25">
      <c r="E108" s="79">
        <v>46083</v>
      </c>
      <c r="F108" s="78" t="s">
        <v>60</v>
      </c>
      <c r="G108" s="78">
        <v>130111</v>
      </c>
      <c r="I108" s="78" t="s">
        <v>48</v>
      </c>
      <c r="K108" s="80">
        <v>46052</v>
      </c>
      <c r="L108" s="78" t="s">
        <v>184</v>
      </c>
      <c r="M108" s="115"/>
      <c r="N108" s="110">
        <v>108000</v>
      </c>
      <c r="P108" s="80">
        <v>46072</v>
      </c>
      <c r="Q108" s="78" t="s">
        <v>229</v>
      </c>
      <c r="R108" s="115"/>
      <c r="S108" s="99">
        <v>24000</v>
      </c>
      <c r="U108" s="23"/>
      <c r="W108" s="91"/>
      <c r="X108" s="92"/>
      <c r="Y108" s="82"/>
      <c r="AE108" s="79"/>
    </row>
    <row r="109" spans="5:31" ht="15" x14ac:dyDescent="0.25">
      <c r="E109" s="79">
        <v>46084</v>
      </c>
      <c r="F109" s="78" t="s">
        <v>22</v>
      </c>
      <c r="G109" s="78">
        <v>105029</v>
      </c>
      <c r="I109" s="78" t="s">
        <v>48</v>
      </c>
      <c r="K109" s="80">
        <v>46052</v>
      </c>
      <c r="L109" s="78" t="s">
        <v>125</v>
      </c>
      <c r="M109" s="115"/>
      <c r="N109" s="110">
        <v>600000</v>
      </c>
      <c r="P109" s="80">
        <v>46072</v>
      </c>
      <c r="Q109" s="78" t="s">
        <v>176</v>
      </c>
      <c r="R109" s="115"/>
      <c r="S109" s="99">
        <v>7000</v>
      </c>
      <c r="U109" s="23"/>
      <c r="W109" s="91"/>
      <c r="X109" s="92"/>
      <c r="Y109" s="82"/>
      <c r="AE109" s="79"/>
    </row>
    <row r="110" spans="5:31" ht="15" x14ac:dyDescent="0.25">
      <c r="E110" s="79">
        <v>46084</v>
      </c>
      <c r="F110" s="78" t="s">
        <v>23</v>
      </c>
      <c r="G110" s="78">
        <v>105029</v>
      </c>
      <c r="I110" s="78" t="s">
        <v>48</v>
      </c>
      <c r="K110" s="80">
        <v>46053</v>
      </c>
      <c r="L110" s="78" t="s">
        <v>133</v>
      </c>
      <c r="M110" s="115"/>
      <c r="N110" s="110">
        <v>800000</v>
      </c>
      <c r="P110" s="80">
        <v>46073</v>
      </c>
      <c r="Q110" s="78" t="s">
        <v>221</v>
      </c>
      <c r="R110" s="115"/>
      <c r="S110" s="99">
        <v>105000</v>
      </c>
      <c r="U110" s="23"/>
      <c r="W110" s="91"/>
      <c r="X110" s="92"/>
      <c r="Y110" s="82"/>
      <c r="AE110" s="79"/>
    </row>
    <row r="111" spans="5:31" ht="15" x14ac:dyDescent="0.25">
      <c r="E111" s="79">
        <v>46084</v>
      </c>
      <c r="F111" s="78" t="s">
        <v>151</v>
      </c>
      <c r="G111" s="78">
        <v>85000</v>
      </c>
      <c r="I111" s="78" t="s">
        <v>48</v>
      </c>
      <c r="K111" s="80">
        <v>46053</v>
      </c>
      <c r="L111" s="78" t="s">
        <v>133</v>
      </c>
      <c r="M111" s="115"/>
      <c r="N111" s="110">
        <v>83000</v>
      </c>
      <c r="P111" s="80">
        <v>46073</v>
      </c>
      <c r="Q111" s="78" t="s">
        <v>231</v>
      </c>
      <c r="R111" s="115"/>
      <c r="S111" s="99">
        <v>500000</v>
      </c>
      <c r="U111" s="23"/>
      <c r="W111" s="91"/>
      <c r="X111" s="92"/>
      <c r="Y111" s="82"/>
      <c r="AE111" s="79"/>
    </row>
    <row r="112" spans="5:31" ht="15" x14ac:dyDescent="0.25">
      <c r="E112" s="79">
        <v>46086</v>
      </c>
      <c r="F112" s="78" t="s">
        <v>20</v>
      </c>
      <c r="G112" s="78">
        <v>90342</v>
      </c>
      <c r="I112" s="78" t="s">
        <v>48</v>
      </c>
      <c r="K112" s="80">
        <v>46053</v>
      </c>
      <c r="L112" s="78" t="s">
        <v>133</v>
      </c>
      <c r="M112" s="115"/>
      <c r="N112" s="110">
        <v>200000</v>
      </c>
      <c r="P112" s="80">
        <v>46067</v>
      </c>
      <c r="Q112" s="78" t="s">
        <v>232</v>
      </c>
      <c r="R112" s="115"/>
      <c r="S112" s="99">
        <v>650000</v>
      </c>
      <c r="U112" s="23"/>
      <c r="W112" s="91"/>
      <c r="X112" s="92"/>
      <c r="Y112" s="82"/>
      <c r="AE112" s="79"/>
    </row>
    <row r="113" spans="5:31" ht="15" x14ac:dyDescent="0.25">
      <c r="E113" s="79">
        <v>46087</v>
      </c>
      <c r="F113" s="78" t="s">
        <v>57</v>
      </c>
      <c r="G113" s="78">
        <v>1740510.97</v>
      </c>
      <c r="I113" s="78" t="s">
        <v>48</v>
      </c>
      <c r="K113" s="80">
        <v>46054</v>
      </c>
      <c r="L113" s="78" t="s">
        <v>172</v>
      </c>
      <c r="M113" s="115"/>
      <c r="N113" s="110">
        <v>86286.489999999758</v>
      </c>
      <c r="P113" s="80">
        <v>46076</v>
      </c>
      <c r="Q113" s="107" t="s">
        <v>95</v>
      </c>
      <c r="R113" s="115"/>
      <c r="S113" s="108">
        <v>13000</v>
      </c>
      <c r="U113" s="23"/>
      <c r="W113" s="91"/>
      <c r="X113" s="92"/>
      <c r="Y113" s="82"/>
      <c r="AE113" s="79"/>
    </row>
    <row r="114" spans="5:31" ht="15" x14ac:dyDescent="0.25">
      <c r="E114" s="79">
        <v>46090</v>
      </c>
      <c r="F114" s="78" t="s">
        <v>58</v>
      </c>
      <c r="G114" s="78">
        <v>41238</v>
      </c>
      <c r="I114" s="78" t="s">
        <v>48</v>
      </c>
      <c r="K114" s="80">
        <v>46066</v>
      </c>
      <c r="L114" s="78" t="s">
        <v>154</v>
      </c>
      <c r="M114" s="115"/>
      <c r="N114" s="110">
        <v>1210921</v>
      </c>
      <c r="P114" s="80">
        <v>46076</v>
      </c>
      <c r="Q114" s="78" t="s">
        <v>138</v>
      </c>
      <c r="R114" s="115"/>
      <c r="S114" s="108">
        <v>6706</v>
      </c>
      <c r="U114" s="23"/>
      <c r="W114" s="91"/>
      <c r="X114" s="92"/>
      <c r="Y114" s="82"/>
      <c r="AE114" s="79"/>
    </row>
    <row r="115" spans="5:31" ht="15" x14ac:dyDescent="0.25">
      <c r="E115" s="79">
        <v>46091</v>
      </c>
      <c r="F115" s="78" t="s">
        <v>13</v>
      </c>
      <c r="G115" s="78">
        <v>600000</v>
      </c>
      <c r="I115" s="78" t="s">
        <v>48</v>
      </c>
      <c r="K115" s="80">
        <v>46070</v>
      </c>
      <c r="L115" s="78" t="s">
        <v>154</v>
      </c>
      <c r="M115" s="115"/>
      <c r="N115" s="110">
        <v>203424</v>
      </c>
      <c r="P115" s="80">
        <v>46077</v>
      </c>
      <c r="Q115" s="107" t="s">
        <v>234</v>
      </c>
      <c r="R115" s="115"/>
      <c r="S115" s="108">
        <v>33300</v>
      </c>
      <c r="U115" s="23"/>
      <c r="W115" s="91"/>
      <c r="X115" s="92"/>
      <c r="Y115" s="82"/>
    </row>
    <row r="116" spans="5:31" ht="15" x14ac:dyDescent="0.25">
      <c r="E116" s="79">
        <v>46091</v>
      </c>
      <c r="F116" s="78" t="s">
        <v>14</v>
      </c>
      <c r="G116" s="78">
        <v>350000</v>
      </c>
      <c r="I116" s="78" t="s">
        <v>48</v>
      </c>
      <c r="K116" s="80">
        <v>46076</v>
      </c>
      <c r="L116" s="78" t="s">
        <v>154</v>
      </c>
      <c r="M116" s="115"/>
      <c r="N116" s="110">
        <v>1210921</v>
      </c>
      <c r="P116" s="80">
        <v>46077</v>
      </c>
      <c r="Q116" s="107" t="s">
        <v>233</v>
      </c>
      <c r="R116" s="115"/>
      <c r="S116" s="108">
        <v>35000</v>
      </c>
      <c r="U116" s="23"/>
      <c r="W116" s="91"/>
      <c r="X116" s="92"/>
      <c r="Y116" s="82"/>
    </row>
    <row r="117" spans="5:31" ht="15" x14ac:dyDescent="0.25">
      <c r="E117" s="79">
        <v>46091</v>
      </c>
      <c r="F117" s="78" t="s">
        <v>15</v>
      </c>
      <c r="G117" s="78">
        <v>425000</v>
      </c>
      <c r="I117" s="78" t="s">
        <v>48</v>
      </c>
      <c r="K117" s="80">
        <v>46059</v>
      </c>
      <c r="L117" s="78" t="s">
        <v>134</v>
      </c>
      <c r="M117" s="115"/>
      <c r="N117" s="99">
        <f>299500+121000</f>
        <v>420500</v>
      </c>
      <c r="P117" s="80">
        <v>46077</v>
      </c>
      <c r="Q117" s="78" t="s">
        <v>112</v>
      </c>
      <c r="R117" s="115"/>
      <c r="S117" s="108">
        <v>86000</v>
      </c>
      <c r="U117" s="23"/>
      <c r="W117" s="91"/>
      <c r="X117" s="92"/>
      <c r="Y117" s="82"/>
    </row>
    <row r="118" spans="5:31" ht="15" x14ac:dyDescent="0.25">
      <c r="E118" s="79">
        <v>46091</v>
      </c>
      <c r="F118" s="78" t="s">
        <v>16</v>
      </c>
      <c r="G118" s="78">
        <v>150000</v>
      </c>
      <c r="I118" s="78" t="s">
        <v>48</v>
      </c>
      <c r="K118" s="80">
        <v>46057</v>
      </c>
      <c r="L118" s="78" t="s">
        <v>189</v>
      </c>
      <c r="M118" s="115"/>
      <c r="N118" s="81">
        <v>112512</v>
      </c>
      <c r="P118" s="80">
        <v>46077</v>
      </c>
      <c r="Q118" s="78" t="s">
        <v>138</v>
      </c>
      <c r="R118" s="115"/>
      <c r="S118" s="108">
        <v>6000</v>
      </c>
      <c r="U118" s="23"/>
      <c r="W118" s="91"/>
      <c r="X118" s="92"/>
      <c r="Y118" s="82"/>
    </row>
    <row r="119" spans="5:31" ht="15" x14ac:dyDescent="0.25">
      <c r="E119" s="79">
        <v>46091</v>
      </c>
      <c r="F119" s="78" t="s">
        <v>64</v>
      </c>
      <c r="G119" s="78">
        <v>123878</v>
      </c>
      <c r="I119" s="78" t="s">
        <v>48</v>
      </c>
      <c r="K119" s="80">
        <v>46057</v>
      </c>
      <c r="L119" s="78" t="s">
        <v>130</v>
      </c>
      <c r="M119" s="115"/>
      <c r="N119" s="110">
        <v>413000</v>
      </c>
      <c r="P119" s="80">
        <v>46077</v>
      </c>
      <c r="Q119" s="78" t="s">
        <v>176</v>
      </c>
      <c r="R119" s="115"/>
      <c r="S119" s="108">
        <v>7900</v>
      </c>
      <c r="U119" s="23"/>
      <c r="W119" s="91"/>
      <c r="X119" s="92"/>
      <c r="Y119" s="82"/>
    </row>
    <row r="120" spans="5:31" ht="15" x14ac:dyDescent="0.25">
      <c r="E120" s="79">
        <v>46093</v>
      </c>
      <c r="F120" s="78" t="s">
        <v>21</v>
      </c>
      <c r="G120" s="78">
        <v>860061</v>
      </c>
      <c r="I120" s="78" t="s">
        <v>48</v>
      </c>
      <c r="K120" s="80">
        <v>46057</v>
      </c>
      <c r="L120" s="78" t="s">
        <v>190</v>
      </c>
      <c r="M120" s="115"/>
      <c r="N120" s="110">
        <v>51507</v>
      </c>
      <c r="P120" s="80">
        <v>46077</v>
      </c>
      <c r="Q120" s="107" t="s">
        <v>235</v>
      </c>
      <c r="R120" s="115"/>
      <c r="S120" s="108">
        <v>24000</v>
      </c>
      <c r="U120" s="23"/>
      <c r="W120" s="91"/>
      <c r="X120" s="92"/>
      <c r="Y120" s="82"/>
    </row>
    <row r="121" spans="5:31" ht="15" x14ac:dyDescent="0.25">
      <c r="E121" s="79">
        <v>46094</v>
      </c>
      <c r="F121" s="78" t="s">
        <v>53</v>
      </c>
      <c r="G121" s="78">
        <v>980078.13</v>
      </c>
      <c r="I121" s="78" t="s">
        <v>48</v>
      </c>
      <c r="K121" s="80">
        <v>46055</v>
      </c>
      <c r="L121" s="78" t="s">
        <v>147</v>
      </c>
      <c r="M121" s="115"/>
      <c r="N121" s="110">
        <v>300000</v>
      </c>
      <c r="P121" s="80">
        <v>46078</v>
      </c>
      <c r="Q121" s="107" t="s">
        <v>236</v>
      </c>
      <c r="R121" s="115"/>
      <c r="S121" s="108">
        <v>30000</v>
      </c>
      <c r="U121" s="23"/>
      <c r="W121" s="91"/>
      <c r="X121" s="92"/>
      <c r="Y121" s="82"/>
    </row>
    <row r="122" spans="5:31" ht="15" x14ac:dyDescent="0.25">
      <c r="E122" s="79">
        <v>46095</v>
      </c>
      <c r="F122" s="78" t="s">
        <v>80</v>
      </c>
      <c r="G122" s="78">
        <v>1582000</v>
      </c>
      <c r="I122" s="78" t="s">
        <v>48</v>
      </c>
      <c r="K122" s="80">
        <v>46054</v>
      </c>
      <c r="L122" s="78" t="s">
        <v>133</v>
      </c>
      <c r="M122" s="115"/>
      <c r="N122" s="110">
        <v>200000</v>
      </c>
      <c r="P122" s="80">
        <v>46078</v>
      </c>
      <c r="Q122" s="78" t="s">
        <v>176</v>
      </c>
      <c r="R122" s="115"/>
      <c r="S122" s="108">
        <v>13000</v>
      </c>
      <c r="U122" s="23"/>
      <c r="W122" s="91"/>
      <c r="X122" s="92"/>
      <c r="Y122" s="82"/>
    </row>
    <row r="123" spans="5:31" ht="15" x14ac:dyDescent="0.25">
      <c r="E123" s="79">
        <v>46097</v>
      </c>
      <c r="F123" s="78" t="s">
        <v>11</v>
      </c>
      <c r="G123" s="78">
        <v>446304</v>
      </c>
      <c r="I123" s="78" t="s">
        <v>48</v>
      </c>
      <c r="K123" s="80">
        <v>46055</v>
      </c>
      <c r="L123" s="78" t="s">
        <v>195</v>
      </c>
      <c r="M123" s="115"/>
      <c r="N123" s="110">
        <v>152500</v>
      </c>
      <c r="P123" s="80">
        <v>46079</v>
      </c>
      <c r="Q123" s="107" t="s">
        <v>238</v>
      </c>
      <c r="R123" s="115"/>
      <c r="S123" s="108">
        <v>100000</v>
      </c>
      <c r="U123" s="23"/>
      <c r="W123" s="91"/>
      <c r="X123" s="92"/>
      <c r="Y123" s="82"/>
    </row>
    <row r="124" spans="5:31" ht="15" x14ac:dyDescent="0.25">
      <c r="E124" s="79">
        <v>46097</v>
      </c>
      <c r="F124" s="78" t="s">
        <v>11</v>
      </c>
      <c r="G124" s="78">
        <v>410336</v>
      </c>
      <c r="I124" s="78" t="s">
        <v>48</v>
      </c>
      <c r="K124" s="80">
        <v>46058</v>
      </c>
      <c r="L124" s="78" t="s">
        <v>94</v>
      </c>
      <c r="M124" s="115"/>
      <c r="N124" s="81">
        <v>502100</v>
      </c>
      <c r="P124" s="80">
        <v>46080</v>
      </c>
      <c r="Q124" s="107" t="s">
        <v>241</v>
      </c>
      <c r="R124" s="115"/>
      <c r="S124" s="108">
        <v>500000</v>
      </c>
      <c r="U124" s="23"/>
      <c r="W124" s="91"/>
      <c r="X124" s="92"/>
      <c r="Y124" s="82"/>
    </row>
    <row r="125" spans="5:31" ht="15" x14ac:dyDescent="0.25">
      <c r="E125" s="79">
        <v>46097</v>
      </c>
      <c r="F125" s="78" t="s">
        <v>59</v>
      </c>
      <c r="G125" s="78">
        <v>89083</v>
      </c>
      <c r="I125" s="78" t="s">
        <v>48</v>
      </c>
      <c r="K125" s="80">
        <v>46058</v>
      </c>
      <c r="L125" s="78" t="s">
        <v>142</v>
      </c>
      <c r="M125" s="115"/>
      <c r="N125" s="81">
        <v>340000</v>
      </c>
      <c r="P125" s="80">
        <v>46080</v>
      </c>
      <c r="Q125" s="107" t="s">
        <v>242</v>
      </c>
      <c r="R125" s="115"/>
      <c r="S125" s="114">
        <v>99000</v>
      </c>
      <c r="U125" s="23"/>
      <c r="W125" s="91"/>
      <c r="X125" s="92"/>
      <c r="Y125" s="82"/>
    </row>
    <row r="126" spans="5:31" ht="15" x14ac:dyDescent="0.25">
      <c r="E126" s="79">
        <v>46097</v>
      </c>
      <c r="F126" s="78" t="s">
        <v>159</v>
      </c>
      <c r="G126" s="78">
        <v>531246</v>
      </c>
      <c r="I126" s="78" t="s">
        <v>48</v>
      </c>
      <c r="K126" s="80">
        <v>46055</v>
      </c>
      <c r="L126" s="78" t="s">
        <v>149</v>
      </c>
      <c r="M126" s="115"/>
      <c r="N126" s="109">
        <v>22000</v>
      </c>
      <c r="P126" s="80">
        <v>46080</v>
      </c>
      <c r="Q126" s="107" t="s">
        <v>243</v>
      </c>
      <c r="R126" s="115"/>
      <c r="S126" s="108">
        <v>2717843</v>
      </c>
      <c r="U126" s="23"/>
      <c r="W126" s="91"/>
      <c r="X126" s="92"/>
      <c r="Y126" s="82"/>
    </row>
    <row r="127" spans="5:31" ht="15" x14ac:dyDescent="0.25">
      <c r="E127" s="79">
        <v>46100</v>
      </c>
      <c r="F127" s="78" t="s">
        <v>42</v>
      </c>
      <c r="G127" s="78">
        <v>1316757</v>
      </c>
      <c r="I127" s="78" t="s">
        <v>48</v>
      </c>
      <c r="K127" s="80">
        <v>46062</v>
      </c>
      <c r="L127" s="78" t="s">
        <v>209</v>
      </c>
      <c r="M127" s="115"/>
      <c r="N127" s="110">
        <v>180000</v>
      </c>
      <c r="P127" s="80">
        <v>46080</v>
      </c>
      <c r="Q127" s="107" t="s">
        <v>244</v>
      </c>
      <c r="R127" s="115"/>
      <c r="S127" s="108">
        <v>510687</v>
      </c>
      <c r="U127" s="23"/>
      <c r="W127" s="91"/>
      <c r="X127" s="92"/>
      <c r="Y127" s="82"/>
    </row>
    <row r="128" spans="5:31" ht="15" x14ac:dyDescent="0.25">
      <c r="E128" s="79">
        <v>46101</v>
      </c>
      <c r="F128" s="78" t="s">
        <v>17</v>
      </c>
      <c r="G128" s="78">
        <v>390678</v>
      </c>
      <c r="I128" s="78" t="s">
        <v>48</v>
      </c>
      <c r="K128" s="80">
        <v>46062</v>
      </c>
      <c r="L128" s="78" t="s">
        <v>143</v>
      </c>
      <c r="M128" s="115"/>
      <c r="N128" s="112">
        <v>130000</v>
      </c>
      <c r="P128" s="80">
        <v>46083</v>
      </c>
      <c r="Q128" s="107" t="s">
        <v>246</v>
      </c>
      <c r="R128" s="116" t="s">
        <v>48</v>
      </c>
      <c r="S128" s="108">
        <v>50000</v>
      </c>
      <c r="U128" s="23"/>
      <c r="W128" s="91"/>
      <c r="X128" s="92"/>
      <c r="Y128" s="82"/>
    </row>
    <row r="129" spans="5:25" ht="15" x14ac:dyDescent="0.25">
      <c r="E129" s="79">
        <v>46105</v>
      </c>
      <c r="F129" s="78" t="s">
        <v>41</v>
      </c>
      <c r="G129" s="78">
        <v>872520</v>
      </c>
      <c r="I129" s="78" t="s">
        <v>48</v>
      </c>
      <c r="K129" s="80">
        <v>46062</v>
      </c>
      <c r="L129" s="78" t="s">
        <v>140</v>
      </c>
      <c r="M129" s="115"/>
      <c r="N129" s="110">
        <v>166000</v>
      </c>
      <c r="P129" s="80">
        <v>46083</v>
      </c>
      <c r="Q129" s="78" t="s">
        <v>138</v>
      </c>
      <c r="R129" s="116"/>
      <c r="S129" s="108">
        <v>8000</v>
      </c>
      <c r="U129" s="23"/>
      <c r="W129" s="91"/>
      <c r="X129" s="92"/>
      <c r="Y129" s="82"/>
    </row>
    <row r="130" spans="5:25" ht="15" x14ac:dyDescent="0.25">
      <c r="E130" s="79">
        <v>46108</v>
      </c>
      <c r="F130" s="78" t="s">
        <v>42</v>
      </c>
      <c r="G130" s="78">
        <v>302729</v>
      </c>
      <c r="I130" s="78" t="s">
        <v>48</v>
      </c>
      <c r="K130" s="80">
        <v>46062</v>
      </c>
      <c r="L130" s="78" t="s">
        <v>210</v>
      </c>
      <c r="M130" s="115"/>
      <c r="N130" s="81">
        <v>3200000</v>
      </c>
      <c r="P130" s="80">
        <v>46084</v>
      </c>
      <c r="Q130" s="78" t="s">
        <v>176</v>
      </c>
      <c r="R130" s="116"/>
      <c r="S130" s="108">
        <v>13000</v>
      </c>
      <c r="U130" s="23"/>
      <c r="W130" s="91"/>
      <c r="X130" s="92"/>
      <c r="Y130" s="82"/>
    </row>
    <row r="131" spans="5:25" ht="15" x14ac:dyDescent="0.25">
      <c r="E131" s="79">
        <v>46113</v>
      </c>
      <c r="F131" s="78" t="s">
        <v>55</v>
      </c>
      <c r="G131" s="78">
        <v>717341</v>
      </c>
      <c r="I131" s="78" t="s">
        <v>48</v>
      </c>
      <c r="K131" s="80">
        <v>46063</v>
      </c>
      <c r="L131" s="78" t="s">
        <v>211</v>
      </c>
      <c r="M131" s="115"/>
      <c r="N131" s="81">
        <v>397500</v>
      </c>
      <c r="P131" s="80">
        <v>46084</v>
      </c>
      <c r="Q131" s="78" t="s">
        <v>138</v>
      </c>
      <c r="R131" s="116"/>
      <c r="S131" s="108">
        <v>4854</v>
      </c>
      <c r="U131" s="23"/>
      <c r="W131" s="91"/>
      <c r="X131" s="92"/>
      <c r="Y131" s="82"/>
    </row>
    <row r="132" spans="5:25" ht="15" x14ac:dyDescent="0.25">
      <c r="E132" s="79">
        <v>46113</v>
      </c>
      <c r="F132" s="78" t="s">
        <v>38</v>
      </c>
      <c r="G132" s="78">
        <v>364040.33</v>
      </c>
      <c r="I132" s="78" t="s">
        <v>48</v>
      </c>
      <c r="K132" s="80">
        <v>46063</v>
      </c>
      <c r="L132" s="78" t="s">
        <v>117</v>
      </c>
      <c r="M132" s="115"/>
      <c r="N132" s="81">
        <v>315183</v>
      </c>
      <c r="P132" s="80">
        <v>46085</v>
      </c>
      <c r="Q132" s="107" t="s">
        <v>236</v>
      </c>
      <c r="R132" s="116"/>
      <c r="S132" s="108">
        <v>34000</v>
      </c>
      <c r="U132" s="23"/>
      <c r="W132" s="91"/>
      <c r="X132" s="92"/>
      <c r="Y132" s="82"/>
    </row>
    <row r="133" spans="5:25" ht="15" x14ac:dyDescent="0.25">
      <c r="E133" s="79">
        <v>46113</v>
      </c>
      <c r="F133" s="78" t="s">
        <v>20</v>
      </c>
      <c r="G133" s="78">
        <v>90342</v>
      </c>
      <c r="I133" s="78" t="s">
        <v>48</v>
      </c>
      <c r="K133" s="80">
        <v>46063</v>
      </c>
      <c r="L133" s="78" t="s">
        <v>145</v>
      </c>
      <c r="M133" s="115"/>
      <c r="N133" s="81">
        <v>274081</v>
      </c>
      <c r="P133" s="80">
        <v>46086</v>
      </c>
      <c r="Q133" s="78" t="s">
        <v>138</v>
      </c>
      <c r="R133" s="116"/>
      <c r="S133" s="108">
        <v>9000</v>
      </c>
      <c r="U133" s="23"/>
      <c r="W133" s="132"/>
      <c r="X133" s="3"/>
      <c r="Y133" s="82"/>
    </row>
    <row r="134" spans="5:25" ht="15" x14ac:dyDescent="0.25">
      <c r="E134" s="79">
        <v>46113</v>
      </c>
      <c r="F134" s="78" t="s">
        <v>22</v>
      </c>
      <c r="G134" s="78">
        <v>52280</v>
      </c>
      <c r="I134" s="78" t="s">
        <v>48</v>
      </c>
      <c r="K134" s="80">
        <v>46063</v>
      </c>
      <c r="L134" s="78" t="s">
        <v>136</v>
      </c>
      <c r="M134" s="115"/>
      <c r="N134" s="110">
        <v>54000</v>
      </c>
      <c r="P134" s="80">
        <v>46086</v>
      </c>
      <c r="Q134" s="78" t="s">
        <v>138</v>
      </c>
      <c r="R134" s="116"/>
      <c r="S134" s="99">
        <v>7434</v>
      </c>
      <c r="U134" s="23"/>
      <c r="W134" s="91"/>
      <c r="X134" s="3"/>
      <c r="Y134" s="82"/>
    </row>
    <row r="135" spans="5:25" ht="15" x14ac:dyDescent="0.25">
      <c r="E135" s="79">
        <v>46113</v>
      </c>
      <c r="F135" s="78" t="s">
        <v>23</v>
      </c>
      <c r="G135" s="78">
        <v>52280</v>
      </c>
      <c r="I135" s="78" t="s">
        <v>48</v>
      </c>
      <c r="K135" s="80">
        <v>46063</v>
      </c>
      <c r="L135" s="78" t="s">
        <v>214</v>
      </c>
      <c r="M135" s="115"/>
      <c r="N135" s="110">
        <v>260000</v>
      </c>
      <c r="P135" s="80">
        <v>46086</v>
      </c>
      <c r="Q135" s="78" t="s">
        <v>176</v>
      </c>
      <c r="R135" s="116"/>
      <c r="S135" s="99">
        <v>12050</v>
      </c>
      <c r="U135" s="23"/>
      <c r="W135" s="91"/>
      <c r="X135" s="3"/>
      <c r="Y135" s="82"/>
    </row>
    <row r="136" spans="5:25" ht="15" x14ac:dyDescent="0.25">
      <c r="E136" s="79">
        <v>46113</v>
      </c>
      <c r="F136" s="78" t="s">
        <v>151</v>
      </c>
      <c r="G136" s="78">
        <v>42246</v>
      </c>
      <c r="I136" s="78" t="s">
        <v>48</v>
      </c>
      <c r="K136" s="80">
        <v>46064</v>
      </c>
      <c r="L136" s="78" t="s">
        <v>184</v>
      </c>
      <c r="M136" s="115"/>
      <c r="N136" s="110">
        <v>585000</v>
      </c>
      <c r="P136" s="80">
        <v>46087</v>
      </c>
      <c r="Q136" s="78" t="s">
        <v>208</v>
      </c>
      <c r="R136" s="116"/>
      <c r="S136" s="99">
        <f>4500+12000+4000</f>
        <v>20500</v>
      </c>
      <c r="U136" s="23"/>
      <c r="W136" s="91"/>
      <c r="X136" s="3"/>
      <c r="Y136" s="82"/>
    </row>
    <row r="137" spans="5:25" ht="15" x14ac:dyDescent="0.25">
      <c r="E137" s="79">
        <v>46113</v>
      </c>
      <c r="F137" s="78" t="s">
        <v>61</v>
      </c>
      <c r="G137" s="78">
        <v>10350</v>
      </c>
      <c r="I137" s="78" t="s">
        <v>48</v>
      </c>
      <c r="K137" s="80">
        <v>46064</v>
      </c>
      <c r="L137" s="78" t="s">
        <v>94</v>
      </c>
      <c r="M137" s="115"/>
      <c r="N137" s="81">
        <v>280012.09999999998</v>
      </c>
      <c r="P137" s="80">
        <v>46087</v>
      </c>
      <c r="Q137" s="78" t="s">
        <v>183</v>
      </c>
      <c r="R137" s="116"/>
      <c r="S137" s="99">
        <v>32240</v>
      </c>
      <c r="U137" s="23"/>
      <c r="W137" s="91"/>
      <c r="X137" s="3"/>
      <c r="Y137" s="82"/>
    </row>
    <row r="138" spans="5:25" ht="15" x14ac:dyDescent="0.25">
      <c r="E138" s="79">
        <v>46113</v>
      </c>
      <c r="F138" s="78" t="s">
        <v>64</v>
      </c>
      <c r="G138" s="78">
        <v>123878</v>
      </c>
      <c r="I138" s="78" t="s">
        <v>48</v>
      </c>
      <c r="K138" s="80">
        <v>46065</v>
      </c>
      <c r="L138" s="78" t="s">
        <v>133</v>
      </c>
      <c r="M138" s="115"/>
      <c r="N138" s="110">
        <v>930500</v>
      </c>
      <c r="P138" s="80">
        <v>46087</v>
      </c>
      <c r="Q138" s="78" t="s">
        <v>135</v>
      </c>
      <c r="R138" s="116"/>
      <c r="S138" s="99">
        <v>300000</v>
      </c>
      <c r="U138" s="23"/>
      <c r="W138" s="91"/>
      <c r="X138" s="3"/>
      <c r="Y138" s="82"/>
    </row>
    <row r="139" spans="5:25" ht="15" x14ac:dyDescent="0.25">
      <c r="E139" s="79">
        <v>46114</v>
      </c>
      <c r="F139" s="78" t="s">
        <v>60</v>
      </c>
      <c r="G139" s="78">
        <v>141512.71</v>
      </c>
      <c r="I139" s="78" t="s">
        <v>48</v>
      </c>
      <c r="K139" s="80">
        <v>46065</v>
      </c>
      <c r="L139" s="78" t="s">
        <v>167</v>
      </c>
      <c r="M139" s="115"/>
      <c r="N139" s="110">
        <v>553900</v>
      </c>
      <c r="P139" s="80">
        <v>46087</v>
      </c>
      <c r="Q139" s="78" t="s">
        <v>242</v>
      </c>
      <c r="R139" s="116"/>
      <c r="S139" s="99">
        <v>58000</v>
      </c>
      <c r="U139" s="23"/>
      <c r="W139" s="91"/>
      <c r="X139" s="3"/>
      <c r="Y139" s="82"/>
    </row>
    <row r="140" spans="5:25" ht="15" x14ac:dyDescent="0.25">
      <c r="E140" s="79">
        <v>46118</v>
      </c>
      <c r="F140" s="78" t="s">
        <v>54</v>
      </c>
      <c r="G140" s="78">
        <v>40000</v>
      </c>
      <c r="I140" s="78" t="s">
        <v>48</v>
      </c>
      <c r="K140" s="80">
        <v>46065</v>
      </c>
      <c r="L140" s="78" t="s">
        <v>142</v>
      </c>
      <c r="M140" s="115"/>
      <c r="N140" s="81">
        <v>576122</v>
      </c>
      <c r="P140" s="80">
        <v>46087</v>
      </c>
      <c r="Q140" s="78" t="s">
        <v>135</v>
      </c>
      <c r="R140" s="116"/>
      <c r="S140" s="99">
        <v>500000</v>
      </c>
      <c r="U140" s="23"/>
      <c r="W140" s="91"/>
      <c r="X140" s="3"/>
      <c r="Y140" s="82"/>
    </row>
    <row r="141" spans="5:25" ht="15" x14ac:dyDescent="0.25">
      <c r="E141" s="79">
        <v>46120</v>
      </c>
      <c r="F141" s="78" t="s">
        <v>57</v>
      </c>
      <c r="G141" s="78">
        <v>1358053.78</v>
      </c>
      <c r="H141" s="78">
        <v>50.42</v>
      </c>
      <c r="I141" s="78" t="s">
        <v>48</v>
      </c>
      <c r="K141" s="80">
        <v>46065</v>
      </c>
      <c r="L141" s="78" t="s">
        <v>217</v>
      </c>
      <c r="M141" s="115"/>
      <c r="N141" s="110">
        <v>118238</v>
      </c>
      <c r="P141" s="80">
        <v>46087</v>
      </c>
      <c r="Q141" s="78" t="s">
        <v>112</v>
      </c>
      <c r="R141" s="116"/>
      <c r="S141" s="99">
        <v>97003.97</v>
      </c>
      <c r="U141" s="23"/>
      <c r="W141" s="91"/>
      <c r="X141" s="3"/>
      <c r="Y141" s="82"/>
    </row>
    <row r="142" spans="5:25" ht="15" x14ac:dyDescent="0.25">
      <c r="E142" s="79">
        <v>46121</v>
      </c>
      <c r="F142" s="78" t="s">
        <v>58</v>
      </c>
      <c r="G142" s="78">
        <v>41238.629999999997</v>
      </c>
      <c r="I142" s="78" t="s">
        <v>48</v>
      </c>
      <c r="K142" s="80">
        <v>46065</v>
      </c>
      <c r="L142" s="78" t="s">
        <v>142</v>
      </c>
      <c r="M142" s="115"/>
      <c r="N142" s="81">
        <v>123090</v>
      </c>
      <c r="P142" s="80">
        <v>46087</v>
      </c>
      <c r="Q142" s="78" t="s">
        <v>135</v>
      </c>
      <c r="R142" s="116"/>
      <c r="S142" s="99">
        <v>200000</v>
      </c>
      <c r="U142" s="23"/>
      <c r="W142" s="132"/>
      <c r="X142" s="3"/>
      <c r="Y142" s="82"/>
    </row>
    <row r="143" spans="5:25" ht="15" x14ac:dyDescent="0.25">
      <c r="E143" s="79">
        <v>46122</v>
      </c>
      <c r="F143" s="78" t="s">
        <v>13</v>
      </c>
      <c r="G143" s="78">
        <v>600000</v>
      </c>
      <c r="I143" s="78" t="s">
        <v>48</v>
      </c>
      <c r="K143" s="80">
        <v>46066</v>
      </c>
      <c r="L143" s="78" t="s">
        <v>218</v>
      </c>
      <c r="M143" s="115"/>
      <c r="N143" s="81">
        <v>134857.24</v>
      </c>
      <c r="P143" s="80">
        <v>46090</v>
      </c>
      <c r="Q143" s="78" t="s">
        <v>135</v>
      </c>
      <c r="R143" s="116"/>
      <c r="S143" s="99">
        <v>400000</v>
      </c>
      <c r="U143" s="23"/>
      <c r="W143" s="132"/>
      <c r="X143" s="3"/>
      <c r="Y143" s="82"/>
    </row>
    <row r="144" spans="5:25" ht="15" x14ac:dyDescent="0.25">
      <c r="E144" s="79">
        <v>46122</v>
      </c>
      <c r="F144" s="78" t="s">
        <v>14</v>
      </c>
      <c r="G144" s="78">
        <v>350000</v>
      </c>
      <c r="I144" s="78" t="s">
        <v>48</v>
      </c>
      <c r="K144" s="80">
        <v>46072</v>
      </c>
      <c r="L144" s="78" t="s">
        <v>218</v>
      </c>
      <c r="M144" s="115"/>
      <c r="N144" s="81">
        <v>338980.25</v>
      </c>
      <c r="P144" s="80">
        <v>46090</v>
      </c>
      <c r="Q144" s="78" t="s">
        <v>138</v>
      </c>
      <c r="R144" s="116"/>
      <c r="S144" s="99">
        <v>8000</v>
      </c>
      <c r="U144" s="23"/>
      <c r="W144" s="91"/>
      <c r="X144" s="3"/>
      <c r="Y144" s="82"/>
    </row>
    <row r="145" spans="5:25" ht="15" x14ac:dyDescent="0.25">
      <c r="E145" s="79">
        <v>46122</v>
      </c>
      <c r="F145" s="78" t="s">
        <v>15</v>
      </c>
      <c r="G145" s="78">
        <v>430000</v>
      </c>
      <c r="I145" s="78" t="s">
        <v>48</v>
      </c>
      <c r="K145" s="80">
        <v>46086</v>
      </c>
      <c r="L145" s="78" t="s">
        <v>155</v>
      </c>
      <c r="M145" s="115"/>
      <c r="N145" s="81">
        <v>300000</v>
      </c>
      <c r="P145" s="80">
        <v>46091</v>
      </c>
      <c r="Q145" s="78" t="s">
        <v>176</v>
      </c>
      <c r="R145" s="116"/>
      <c r="S145" s="99">
        <v>14940</v>
      </c>
      <c r="U145" s="23"/>
      <c r="W145" s="91"/>
      <c r="X145" s="3"/>
      <c r="Y145" s="82"/>
    </row>
    <row r="146" spans="5:25" ht="15" x14ac:dyDescent="0.25">
      <c r="E146" s="79">
        <v>46122</v>
      </c>
      <c r="F146" s="78" t="s">
        <v>16</v>
      </c>
      <c r="G146" s="78">
        <v>165000</v>
      </c>
      <c r="I146" s="78" t="s">
        <v>48</v>
      </c>
      <c r="K146" s="80">
        <v>46090</v>
      </c>
      <c r="L146" s="78" t="s">
        <v>155</v>
      </c>
      <c r="M146" s="115"/>
      <c r="N146" s="81">
        <v>669426.68999999994</v>
      </c>
      <c r="P146" s="80">
        <v>46091</v>
      </c>
      <c r="Q146" s="78" t="s">
        <v>138</v>
      </c>
      <c r="R146" s="116"/>
      <c r="S146" s="99">
        <v>8000</v>
      </c>
      <c r="U146" s="23"/>
      <c r="W146" s="91"/>
      <c r="X146" s="3"/>
      <c r="Y146" s="82"/>
    </row>
    <row r="147" spans="5:25" ht="15" x14ac:dyDescent="0.25">
      <c r="E147" s="79">
        <v>46122</v>
      </c>
      <c r="F147" s="78" t="s">
        <v>21</v>
      </c>
      <c r="G147" s="78">
        <v>831762</v>
      </c>
      <c r="I147" s="78" t="s">
        <v>48</v>
      </c>
      <c r="K147" s="80">
        <v>46065</v>
      </c>
      <c r="L147" s="78" t="s">
        <v>219</v>
      </c>
      <c r="M147" s="115"/>
      <c r="N147" s="81">
        <v>89015.310000000056</v>
      </c>
      <c r="P147" s="80">
        <v>46093</v>
      </c>
      <c r="Q147" s="78" t="s">
        <v>176</v>
      </c>
      <c r="R147" s="116"/>
      <c r="S147" s="99">
        <v>9000</v>
      </c>
      <c r="U147" s="23"/>
      <c r="W147" s="132"/>
      <c r="X147" s="3"/>
      <c r="Y147" s="82"/>
    </row>
    <row r="148" spans="5:25" ht="15" x14ac:dyDescent="0.25">
      <c r="E148" s="79">
        <v>46126</v>
      </c>
      <c r="F148" s="78" t="s">
        <v>80</v>
      </c>
      <c r="G148" s="78">
        <v>1582000</v>
      </c>
      <c r="I148" s="78" t="s">
        <v>48</v>
      </c>
      <c r="K148" s="80">
        <v>46065</v>
      </c>
      <c r="L148" s="107" t="s">
        <v>220</v>
      </c>
      <c r="M148" s="116"/>
      <c r="N148" s="109">
        <v>65887.320000000065</v>
      </c>
      <c r="P148" s="80">
        <v>46091</v>
      </c>
      <c r="Q148" s="78" t="s">
        <v>135</v>
      </c>
      <c r="R148" s="116"/>
      <c r="S148" s="99">
        <v>300000</v>
      </c>
      <c r="U148" s="23"/>
      <c r="W148" s="91"/>
      <c r="X148" s="3"/>
      <c r="Y148" s="82"/>
    </row>
    <row r="149" spans="5:25" ht="15" x14ac:dyDescent="0.25">
      <c r="E149" s="79">
        <v>46128</v>
      </c>
      <c r="F149" s="78" t="s">
        <v>11</v>
      </c>
      <c r="G149" s="78">
        <v>446304</v>
      </c>
      <c r="I149" s="78" t="s">
        <v>48</v>
      </c>
      <c r="K149" s="80">
        <v>46065</v>
      </c>
      <c r="L149" s="107" t="s">
        <v>127</v>
      </c>
      <c r="M149" s="116"/>
      <c r="N149" s="109">
        <v>188500</v>
      </c>
      <c r="P149" s="80">
        <v>46091</v>
      </c>
      <c r="Q149" s="78" t="s">
        <v>135</v>
      </c>
      <c r="R149" s="116"/>
      <c r="S149" s="99">
        <v>700000</v>
      </c>
      <c r="U149" s="23"/>
      <c r="W149" s="91"/>
      <c r="X149" s="3"/>
      <c r="Y149" s="82"/>
    </row>
    <row r="150" spans="5:25" ht="15" x14ac:dyDescent="0.25">
      <c r="E150" s="79">
        <v>46128</v>
      </c>
      <c r="F150" s="78" t="s">
        <v>11</v>
      </c>
      <c r="G150" s="78">
        <v>410336</v>
      </c>
      <c r="I150" s="78" t="s">
        <v>48</v>
      </c>
      <c r="K150" s="80">
        <v>46066</v>
      </c>
      <c r="L150" s="107" t="s">
        <v>222</v>
      </c>
      <c r="M150" s="116"/>
      <c r="N150" s="109">
        <v>297283</v>
      </c>
      <c r="P150" s="80">
        <v>46094</v>
      </c>
      <c r="Q150" s="78" t="s">
        <v>259</v>
      </c>
      <c r="R150" s="116"/>
      <c r="S150" s="99">
        <v>77500</v>
      </c>
      <c r="U150" s="23"/>
      <c r="W150" s="91"/>
      <c r="X150" s="3"/>
      <c r="Y150" s="82"/>
    </row>
    <row r="151" spans="5:25" ht="15" x14ac:dyDescent="0.25">
      <c r="E151" s="79">
        <v>46128</v>
      </c>
      <c r="F151" s="78" t="s">
        <v>59</v>
      </c>
      <c r="G151" s="78">
        <v>89083</v>
      </c>
      <c r="I151" s="78" t="s">
        <v>48</v>
      </c>
      <c r="K151" s="80">
        <v>46066</v>
      </c>
      <c r="L151" s="78" t="s">
        <v>125</v>
      </c>
      <c r="M151" s="115"/>
      <c r="N151" s="81">
        <f>(35000+100460+128840+406675+106600+140574)</f>
        <v>918149</v>
      </c>
      <c r="P151" s="80">
        <v>46094</v>
      </c>
      <c r="Q151" s="78" t="s">
        <v>152</v>
      </c>
      <c r="R151" s="116"/>
      <c r="S151" s="99">
        <v>120000</v>
      </c>
      <c r="U151" s="23"/>
      <c r="W151" s="91"/>
      <c r="X151" s="3"/>
      <c r="Y151" s="82"/>
    </row>
    <row r="152" spans="5:25" ht="15" x14ac:dyDescent="0.25">
      <c r="E152" s="79">
        <v>46129</v>
      </c>
      <c r="F152" s="78" t="s">
        <v>53</v>
      </c>
      <c r="G152" s="78">
        <v>1213387.2</v>
      </c>
      <c r="I152" s="78" t="s">
        <v>48</v>
      </c>
      <c r="K152" s="80">
        <v>46071</v>
      </c>
      <c r="L152" s="78" t="s">
        <v>182</v>
      </c>
      <c r="M152" s="115"/>
      <c r="N152" s="81">
        <v>550000</v>
      </c>
      <c r="P152" s="80">
        <v>46094</v>
      </c>
      <c r="Q152" s="78" t="s">
        <v>176</v>
      </c>
      <c r="R152" s="116"/>
      <c r="S152" s="99">
        <v>11700</v>
      </c>
      <c r="U152" s="23"/>
      <c r="W152" s="132"/>
      <c r="X152" s="3"/>
      <c r="Y152" s="82"/>
    </row>
    <row r="153" spans="5:25" ht="15" x14ac:dyDescent="0.25">
      <c r="E153" s="79">
        <v>46131</v>
      </c>
      <c r="F153" s="78" t="s">
        <v>42</v>
      </c>
      <c r="G153" s="78">
        <v>1311628.8700000001</v>
      </c>
      <c r="I153" s="78" t="s">
        <v>48</v>
      </c>
      <c r="K153" s="80">
        <v>46071</v>
      </c>
      <c r="L153" s="78" t="s">
        <v>144</v>
      </c>
      <c r="M153" s="115"/>
      <c r="N153" s="81">
        <v>20000</v>
      </c>
      <c r="P153" s="80">
        <v>46094</v>
      </c>
      <c r="Q153" s="78" t="s">
        <v>135</v>
      </c>
      <c r="R153" s="116"/>
      <c r="S153" s="99">
        <v>400000</v>
      </c>
      <c r="U153" s="23"/>
      <c r="W153" s="132"/>
      <c r="X153" s="3"/>
      <c r="Y153" s="82"/>
    </row>
    <row r="154" spans="5:25" ht="15" x14ac:dyDescent="0.25">
      <c r="E154" s="79">
        <v>46132</v>
      </c>
      <c r="F154" s="78" t="s">
        <v>17</v>
      </c>
      <c r="G154" s="78">
        <v>382511.25</v>
      </c>
      <c r="I154" s="78" t="s">
        <v>48</v>
      </c>
      <c r="K154" s="80">
        <v>46072</v>
      </c>
      <c r="L154" s="78" t="s">
        <v>224</v>
      </c>
      <c r="M154" s="115"/>
      <c r="N154" s="110">
        <v>183000</v>
      </c>
      <c r="P154" s="80">
        <v>46097</v>
      </c>
      <c r="Q154" s="78" t="s">
        <v>176</v>
      </c>
      <c r="R154" s="116"/>
      <c r="S154" s="99">
        <v>13000</v>
      </c>
      <c r="U154" s="23"/>
      <c r="W154" s="91"/>
      <c r="X154" s="3"/>
      <c r="Y154" s="82"/>
    </row>
    <row r="155" spans="5:25" ht="15" x14ac:dyDescent="0.25">
      <c r="E155" s="79">
        <v>46132</v>
      </c>
      <c r="F155" s="78" t="s">
        <v>159</v>
      </c>
      <c r="G155" s="78">
        <v>848160</v>
      </c>
      <c r="I155" s="78" t="s">
        <v>48</v>
      </c>
      <c r="K155" s="80">
        <v>46072</v>
      </c>
      <c r="L155" s="78" t="s">
        <v>166</v>
      </c>
      <c r="M155" s="115"/>
      <c r="N155" s="81">
        <v>307106.55803151336</v>
      </c>
      <c r="P155" s="80">
        <v>46097</v>
      </c>
      <c r="Q155" s="78" t="s">
        <v>138</v>
      </c>
      <c r="R155" s="116"/>
      <c r="S155" s="99">
        <f>5740+7000</f>
        <v>12740</v>
      </c>
      <c r="U155" s="23"/>
      <c r="W155" s="91"/>
      <c r="X155" s="3"/>
      <c r="Y155" s="82"/>
    </row>
    <row r="156" spans="5:25" ht="15" x14ac:dyDescent="0.25">
      <c r="E156" s="79">
        <v>46134</v>
      </c>
      <c r="F156" s="78" t="s">
        <v>62</v>
      </c>
      <c r="G156" s="78">
        <v>93593</v>
      </c>
      <c r="I156" s="78" t="s">
        <v>48</v>
      </c>
      <c r="K156" s="80">
        <v>46072</v>
      </c>
      <c r="L156" s="78" t="s">
        <v>225</v>
      </c>
      <c r="M156" s="115"/>
      <c r="N156" s="81">
        <v>289500</v>
      </c>
      <c r="P156" s="80">
        <v>46097</v>
      </c>
      <c r="Q156" s="78" t="s">
        <v>246</v>
      </c>
      <c r="R156" s="116"/>
      <c r="S156" s="99">
        <v>94009</v>
      </c>
      <c r="U156" s="23"/>
      <c r="W156" s="91"/>
      <c r="X156" s="3"/>
      <c r="Y156" s="82"/>
    </row>
    <row r="157" spans="5:25" ht="15" x14ac:dyDescent="0.25">
      <c r="E157" s="79">
        <v>46136</v>
      </c>
      <c r="F157" s="78" t="s">
        <v>41</v>
      </c>
      <c r="G157" s="78">
        <v>872520</v>
      </c>
      <c r="I157" s="78" t="s">
        <v>48</v>
      </c>
      <c r="K157" s="80">
        <v>46072</v>
      </c>
      <c r="L157" s="78" t="s">
        <v>226</v>
      </c>
      <c r="M157" s="115"/>
      <c r="N157" s="117">
        <v>124000</v>
      </c>
      <c r="P157" s="80">
        <v>46099</v>
      </c>
      <c r="Q157" s="78" t="s">
        <v>260</v>
      </c>
      <c r="R157" s="116"/>
      <c r="S157" s="99">
        <v>10968</v>
      </c>
      <c r="U157" s="23"/>
      <c r="W157" s="91"/>
      <c r="X157" s="3"/>
      <c r="Y157" s="82"/>
    </row>
    <row r="158" spans="5:25" ht="15" x14ac:dyDescent="0.25">
      <c r="E158" s="79">
        <v>46139</v>
      </c>
      <c r="F158" s="78" t="s">
        <v>42</v>
      </c>
      <c r="G158" s="78">
        <v>299449</v>
      </c>
      <c r="I158" s="78" t="s">
        <v>48</v>
      </c>
      <c r="K158" s="80">
        <v>46072</v>
      </c>
      <c r="L158" s="78" t="s">
        <v>130</v>
      </c>
      <c r="M158" s="115"/>
      <c r="N158" s="81">
        <v>400000</v>
      </c>
      <c r="P158" s="80">
        <v>46099</v>
      </c>
      <c r="Q158" s="78" t="s">
        <v>138</v>
      </c>
      <c r="R158" s="116"/>
      <c r="S158" s="99">
        <v>5500</v>
      </c>
      <c r="U158" s="23"/>
      <c r="W158" s="91"/>
      <c r="X158" s="3"/>
      <c r="Y158" s="82"/>
    </row>
    <row r="159" spans="5:25" ht="14.25" customHeight="1" x14ac:dyDescent="0.25">
      <c r="K159" s="80">
        <v>46072</v>
      </c>
      <c r="L159" s="78" t="s">
        <v>127</v>
      </c>
      <c r="M159" s="115"/>
      <c r="N159" s="81">
        <v>76000</v>
      </c>
      <c r="P159" s="80">
        <v>46099</v>
      </c>
      <c r="Q159" s="78" t="s">
        <v>135</v>
      </c>
      <c r="R159" s="116"/>
      <c r="S159" s="99">
        <v>500000</v>
      </c>
      <c r="U159" s="23"/>
      <c r="W159" s="91"/>
      <c r="X159" s="3"/>
      <c r="Y159" s="82"/>
    </row>
    <row r="160" spans="5:25" ht="14.25" customHeight="1" x14ac:dyDescent="0.25">
      <c r="K160" s="80">
        <v>46072</v>
      </c>
      <c r="L160" s="78" t="s">
        <v>147</v>
      </c>
      <c r="M160" s="115"/>
      <c r="N160" s="81">
        <v>441000</v>
      </c>
      <c r="P160" s="80">
        <v>46099</v>
      </c>
      <c r="Q160" s="78" t="s">
        <v>176</v>
      </c>
      <c r="R160" s="116"/>
      <c r="S160" s="99">
        <v>13000</v>
      </c>
      <c r="U160" s="23"/>
      <c r="W160" s="91"/>
      <c r="X160" s="3"/>
      <c r="Y160" s="82"/>
    </row>
    <row r="161" spans="11:25" ht="14.25" customHeight="1" x14ac:dyDescent="0.25">
      <c r="K161" s="80">
        <v>46072</v>
      </c>
      <c r="L161" s="78" t="s">
        <v>147</v>
      </c>
      <c r="M161" s="115"/>
      <c r="N161" s="81">
        <v>300000</v>
      </c>
      <c r="P161" s="80">
        <v>46099</v>
      </c>
      <c r="Q161" s="78" t="s">
        <v>262</v>
      </c>
      <c r="R161" s="116"/>
      <c r="S161" s="99">
        <v>73500</v>
      </c>
      <c r="U161" s="23"/>
      <c r="W161" s="91"/>
      <c r="X161" s="3"/>
      <c r="Y161" s="82"/>
    </row>
    <row r="162" spans="11:25" ht="14.25" customHeight="1" x14ac:dyDescent="0.25">
      <c r="K162" s="80">
        <v>46073</v>
      </c>
      <c r="L162" s="78" t="s">
        <v>123</v>
      </c>
      <c r="M162" s="115"/>
      <c r="N162" s="81">
        <v>206000</v>
      </c>
      <c r="P162" s="80">
        <v>46100</v>
      </c>
      <c r="Q162" s="78" t="s">
        <v>135</v>
      </c>
      <c r="R162" s="116"/>
      <c r="S162" s="99">
        <v>1178377.18</v>
      </c>
      <c r="U162" s="23"/>
      <c r="W162" s="91"/>
      <c r="X162" s="3"/>
      <c r="Y162" s="82"/>
    </row>
    <row r="163" spans="11:25" ht="14.25" customHeight="1" x14ac:dyDescent="0.25">
      <c r="K163" s="80">
        <v>46073</v>
      </c>
      <c r="L163" s="78" t="s">
        <v>144</v>
      </c>
      <c r="M163" s="115"/>
      <c r="N163" s="81">
        <v>40000</v>
      </c>
      <c r="P163" s="80">
        <v>46100</v>
      </c>
      <c r="Q163" s="78" t="s">
        <v>176</v>
      </c>
      <c r="R163" s="116"/>
      <c r="S163" s="99">
        <v>7600</v>
      </c>
      <c r="U163" s="23"/>
      <c r="W163" s="91"/>
      <c r="X163" s="3"/>
      <c r="Y163" s="82"/>
    </row>
    <row r="164" spans="11:25" ht="14.25" customHeight="1" x14ac:dyDescent="0.25">
      <c r="K164" s="80">
        <v>46073</v>
      </c>
      <c r="L164" s="78" t="s">
        <v>147</v>
      </c>
      <c r="M164" s="115"/>
      <c r="N164" s="81">
        <v>168200</v>
      </c>
      <c r="P164" s="80">
        <v>46100</v>
      </c>
      <c r="Q164" s="78" t="s">
        <v>138</v>
      </c>
      <c r="R164" s="116"/>
      <c r="S164" s="99">
        <v>8000</v>
      </c>
      <c r="U164" s="23"/>
      <c r="W164" s="91"/>
      <c r="X164" s="3"/>
      <c r="Y164" s="82"/>
    </row>
    <row r="165" spans="11:25" ht="14.25" customHeight="1" x14ac:dyDescent="0.25">
      <c r="K165" s="80">
        <v>46073</v>
      </c>
      <c r="L165" s="78" t="s">
        <v>125</v>
      </c>
      <c r="M165" s="115"/>
      <c r="N165" s="81">
        <v>175077.85</v>
      </c>
      <c r="P165" s="80">
        <v>46101</v>
      </c>
      <c r="Q165" s="78" t="s">
        <v>135</v>
      </c>
      <c r="R165" s="116"/>
      <c r="S165" s="99">
        <v>121622.82</v>
      </c>
      <c r="U165" s="23"/>
      <c r="W165" s="91"/>
      <c r="X165" s="3"/>
      <c r="Y165" s="82"/>
    </row>
    <row r="166" spans="11:25" ht="14.25" customHeight="1" x14ac:dyDescent="0.25">
      <c r="K166" s="80">
        <v>46073</v>
      </c>
      <c r="L166" s="78" t="s">
        <v>133</v>
      </c>
      <c r="M166" s="115"/>
      <c r="N166" s="110">
        <v>150000</v>
      </c>
      <c r="P166" s="80">
        <v>46102</v>
      </c>
      <c r="Q166" s="78" t="s">
        <v>242</v>
      </c>
      <c r="R166" s="116"/>
      <c r="S166" s="99">
        <v>60000</v>
      </c>
      <c r="U166" s="23"/>
      <c r="W166" s="91"/>
      <c r="X166" s="3"/>
      <c r="Y166" s="82"/>
    </row>
    <row r="167" spans="11:25" ht="14.25" customHeight="1" x14ac:dyDescent="0.25">
      <c r="K167" s="80">
        <v>46073</v>
      </c>
      <c r="L167" s="78" t="s">
        <v>147</v>
      </c>
      <c r="M167" s="115"/>
      <c r="N167" s="81">
        <v>360000</v>
      </c>
      <c r="P167" s="80">
        <v>46106</v>
      </c>
      <c r="Q167" s="78" t="s">
        <v>269</v>
      </c>
      <c r="R167" s="116"/>
      <c r="S167" s="99">
        <v>372748</v>
      </c>
      <c r="U167" s="23"/>
      <c r="W167" s="91"/>
      <c r="X167" s="3"/>
      <c r="Y167" s="82"/>
    </row>
    <row r="168" spans="11:25" ht="14.25" customHeight="1" x14ac:dyDescent="0.25">
      <c r="K168" s="80">
        <v>46073</v>
      </c>
      <c r="L168" s="78" t="s">
        <v>230</v>
      </c>
      <c r="M168" s="115"/>
      <c r="N168" s="81">
        <v>309000</v>
      </c>
      <c r="P168" s="80">
        <v>46106</v>
      </c>
      <c r="Q168" s="107" t="s">
        <v>270</v>
      </c>
      <c r="R168" s="116"/>
      <c r="S168" s="99">
        <v>1533000</v>
      </c>
      <c r="U168" s="23"/>
      <c r="W168" s="132"/>
      <c r="X168" s="3"/>
      <c r="Y168" s="82"/>
    </row>
    <row r="169" spans="11:25" ht="14.25" customHeight="1" x14ac:dyDescent="0.25">
      <c r="K169" s="80">
        <v>46074</v>
      </c>
      <c r="L169" s="78" t="s">
        <v>147</v>
      </c>
      <c r="M169" s="115"/>
      <c r="N169" s="81">
        <v>200000</v>
      </c>
      <c r="P169" s="80">
        <v>46106</v>
      </c>
      <c r="Q169" s="78" t="s">
        <v>246</v>
      </c>
      <c r="R169" s="116"/>
      <c r="S169" s="99">
        <v>96506</v>
      </c>
      <c r="U169" s="23"/>
      <c r="W169" s="132"/>
      <c r="X169" s="3"/>
      <c r="Y169" s="82"/>
    </row>
    <row r="170" spans="11:25" ht="14.25" customHeight="1" x14ac:dyDescent="0.25">
      <c r="K170" s="80">
        <v>46076</v>
      </c>
      <c r="L170" s="78" t="s">
        <v>142</v>
      </c>
      <c r="M170" s="115"/>
      <c r="N170" s="81">
        <v>632580</v>
      </c>
      <c r="P170" s="80">
        <v>46106</v>
      </c>
      <c r="Q170" s="78" t="s">
        <v>138</v>
      </c>
      <c r="R170" s="116"/>
      <c r="S170" s="99">
        <v>11360</v>
      </c>
      <c r="U170" s="23"/>
      <c r="W170" s="91"/>
      <c r="X170" s="3"/>
      <c r="Y170" s="82"/>
    </row>
    <row r="171" spans="11:25" ht="14.25" customHeight="1" x14ac:dyDescent="0.25">
      <c r="K171" s="80">
        <v>46076</v>
      </c>
      <c r="L171" s="78" t="s">
        <v>268</v>
      </c>
      <c r="M171" s="115"/>
      <c r="N171" s="81">
        <v>161820</v>
      </c>
      <c r="P171" s="80">
        <v>46106</v>
      </c>
      <c r="Q171" s="78" t="s">
        <v>176</v>
      </c>
      <c r="R171" s="116"/>
      <c r="S171" s="99">
        <v>10500</v>
      </c>
      <c r="U171" s="23"/>
      <c r="W171" s="91"/>
      <c r="X171" s="3"/>
      <c r="Y171" s="82"/>
    </row>
    <row r="172" spans="11:25" ht="14.25" customHeight="1" x14ac:dyDescent="0.25">
      <c r="K172" s="80">
        <v>46076</v>
      </c>
      <c r="L172" s="78" t="s">
        <v>130</v>
      </c>
      <c r="M172" s="115"/>
      <c r="N172" s="81">
        <v>265785</v>
      </c>
      <c r="P172" s="80">
        <v>46107</v>
      </c>
      <c r="Q172" s="78" t="s">
        <v>138</v>
      </c>
      <c r="R172" s="116"/>
      <c r="S172" s="99">
        <v>9000</v>
      </c>
      <c r="U172" s="23"/>
      <c r="W172" s="91"/>
      <c r="X172" s="3"/>
      <c r="Y172" s="82"/>
    </row>
    <row r="173" spans="11:25" ht="14.25" customHeight="1" x14ac:dyDescent="0.25">
      <c r="K173" s="80">
        <v>46076</v>
      </c>
      <c r="L173" s="78" t="s">
        <v>147</v>
      </c>
      <c r="M173" s="115"/>
      <c r="N173" s="81">
        <v>1832250</v>
      </c>
      <c r="P173" s="80">
        <v>46108</v>
      </c>
      <c r="Q173" s="78" t="s">
        <v>176</v>
      </c>
      <c r="R173" s="116"/>
      <c r="S173" s="99">
        <v>13200</v>
      </c>
      <c r="U173" s="23"/>
      <c r="W173" s="91"/>
      <c r="X173" s="3"/>
      <c r="Y173" s="82"/>
    </row>
    <row r="174" spans="11:25" ht="14.25" customHeight="1" x14ac:dyDescent="0.25">
      <c r="K174" s="80">
        <v>46076</v>
      </c>
      <c r="L174" s="78" t="s">
        <v>144</v>
      </c>
      <c r="M174" s="115"/>
      <c r="N174" s="81">
        <v>40000</v>
      </c>
      <c r="P174" s="80">
        <v>46108</v>
      </c>
      <c r="Q174" s="78" t="s">
        <v>138</v>
      </c>
      <c r="R174" s="116"/>
      <c r="S174" s="99">
        <v>80000</v>
      </c>
      <c r="U174" s="23"/>
      <c r="W174" s="91"/>
      <c r="X174" s="3"/>
      <c r="Y174" s="82"/>
    </row>
    <row r="175" spans="11:25" ht="14.25" customHeight="1" x14ac:dyDescent="0.25">
      <c r="K175" s="80">
        <v>46091</v>
      </c>
      <c r="L175" s="78" t="s">
        <v>154</v>
      </c>
      <c r="M175" s="115"/>
      <c r="N175" s="81">
        <v>344145.89</v>
      </c>
      <c r="P175" s="80">
        <v>46108</v>
      </c>
      <c r="Q175" s="78" t="s">
        <v>186</v>
      </c>
      <c r="R175" s="116"/>
      <c r="S175" s="99">
        <v>111680.09999999963</v>
      </c>
      <c r="U175" s="23"/>
      <c r="W175" s="91"/>
      <c r="X175" s="3"/>
      <c r="Y175" s="82"/>
    </row>
    <row r="176" spans="11:25" ht="14.25" customHeight="1" x14ac:dyDescent="0.25">
      <c r="K176" s="80">
        <v>46093</v>
      </c>
      <c r="L176" s="78" t="s">
        <v>155</v>
      </c>
      <c r="M176" s="115"/>
      <c r="N176" s="81">
        <v>271866.34000000003</v>
      </c>
      <c r="P176" s="80">
        <v>46108</v>
      </c>
      <c r="Q176" s="78" t="s">
        <v>135</v>
      </c>
      <c r="R176" s="116"/>
      <c r="S176" s="99">
        <v>169378</v>
      </c>
      <c r="U176" s="23"/>
      <c r="W176" s="132"/>
      <c r="X176" s="3"/>
      <c r="Y176" s="82"/>
    </row>
    <row r="177" spans="11:25" ht="14.25" customHeight="1" x14ac:dyDescent="0.25">
      <c r="K177" s="80">
        <v>46102</v>
      </c>
      <c r="L177" s="78" t="s">
        <v>155</v>
      </c>
      <c r="M177" s="115"/>
      <c r="N177" s="81">
        <v>266253.34999999998</v>
      </c>
      <c r="P177" s="80">
        <v>46108</v>
      </c>
      <c r="Q177" s="78" t="s">
        <v>135</v>
      </c>
      <c r="R177" s="116"/>
      <c r="S177" s="99">
        <v>140000</v>
      </c>
      <c r="U177" s="23"/>
      <c r="W177" s="91"/>
      <c r="X177" s="3"/>
      <c r="Y177" s="82"/>
    </row>
    <row r="178" spans="11:25" ht="14.25" customHeight="1" x14ac:dyDescent="0.25">
      <c r="K178" s="80">
        <v>46112</v>
      </c>
      <c r="L178" s="78" t="s">
        <v>155</v>
      </c>
      <c r="M178" s="115"/>
      <c r="N178" s="81">
        <v>266253.34999999998</v>
      </c>
      <c r="P178" s="80">
        <v>46109</v>
      </c>
      <c r="Q178" s="78" t="s">
        <v>135</v>
      </c>
      <c r="R178" s="116"/>
      <c r="S178" s="99">
        <v>600000</v>
      </c>
      <c r="U178" s="23"/>
      <c r="W178" s="91"/>
      <c r="X178" s="3"/>
      <c r="Y178" s="82"/>
    </row>
    <row r="179" spans="11:25" ht="14.25" customHeight="1" x14ac:dyDescent="0.25">
      <c r="K179" s="80">
        <v>46087</v>
      </c>
      <c r="L179" s="78" t="s">
        <v>154</v>
      </c>
      <c r="M179" s="115"/>
      <c r="N179" s="81">
        <v>2236591.81</v>
      </c>
      <c r="P179" s="80">
        <v>46109</v>
      </c>
      <c r="Q179" s="78" t="s">
        <v>135</v>
      </c>
      <c r="R179" s="116"/>
      <c r="S179" s="99">
        <v>260000</v>
      </c>
      <c r="U179" s="23"/>
      <c r="W179" s="91"/>
      <c r="X179" s="3"/>
      <c r="Y179" s="82"/>
    </row>
    <row r="180" spans="11:25" ht="14.25" customHeight="1" x14ac:dyDescent="0.25">
      <c r="K180" s="80">
        <v>46077</v>
      </c>
      <c r="L180" s="78" t="s">
        <v>155</v>
      </c>
      <c r="M180" s="115"/>
      <c r="N180" s="81">
        <v>150000</v>
      </c>
      <c r="P180" s="80">
        <v>46109</v>
      </c>
      <c r="Q180" s="78" t="s">
        <v>274</v>
      </c>
      <c r="R180" s="116"/>
      <c r="S180" s="99">
        <v>400000</v>
      </c>
      <c r="U180" s="23"/>
      <c r="W180" s="91"/>
      <c r="X180" s="3"/>
      <c r="Y180" s="82"/>
    </row>
    <row r="181" spans="11:25" ht="14.25" customHeight="1" x14ac:dyDescent="0.25">
      <c r="K181" s="80">
        <v>46080</v>
      </c>
      <c r="L181" s="78" t="s">
        <v>154</v>
      </c>
      <c r="M181" s="115"/>
      <c r="N181" s="81">
        <v>142813.26999999999</v>
      </c>
      <c r="P181" s="80">
        <v>46109</v>
      </c>
      <c r="Q181" s="78" t="s">
        <v>274</v>
      </c>
      <c r="R181" s="116"/>
      <c r="S181" s="99">
        <f>689937-S180</f>
        <v>289937</v>
      </c>
      <c r="U181" s="23"/>
      <c r="W181" s="91"/>
      <c r="X181" s="3"/>
      <c r="Y181" s="82"/>
    </row>
    <row r="182" spans="11:25" ht="14.25" customHeight="1" x14ac:dyDescent="0.25">
      <c r="K182" s="80">
        <v>46077</v>
      </c>
      <c r="L182" s="78" t="s">
        <v>127</v>
      </c>
      <c r="M182" s="115"/>
      <c r="N182" s="117">
        <v>189600</v>
      </c>
      <c r="P182" s="80">
        <v>46111</v>
      </c>
      <c r="Q182" s="78" t="s">
        <v>138</v>
      </c>
      <c r="R182" s="116"/>
      <c r="S182" s="99">
        <v>8000</v>
      </c>
      <c r="U182" s="23"/>
      <c r="W182" s="91"/>
      <c r="X182" s="3"/>
      <c r="Y182" s="82"/>
    </row>
    <row r="183" spans="11:25" ht="14.25" customHeight="1" x14ac:dyDescent="0.25">
      <c r="K183" s="80">
        <v>46077</v>
      </c>
      <c r="L183" s="78" t="s">
        <v>117</v>
      </c>
      <c r="M183" s="115"/>
      <c r="N183" s="110">
        <v>403079</v>
      </c>
      <c r="P183" s="80">
        <v>46112</v>
      </c>
      <c r="Q183" s="78" t="s">
        <v>276</v>
      </c>
      <c r="R183" s="116"/>
      <c r="S183" s="99">
        <v>15000</v>
      </c>
      <c r="U183" s="23"/>
      <c r="W183" s="91"/>
      <c r="X183" s="3"/>
      <c r="Y183" s="82"/>
    </row>
    <row r="184" spans="11:25" ht="14.25" customHeight="1" x14ac:dyDescent="0.25">
      <c r="K184" s="80">
        <v>46078</v>
      </c>
      <c r="L184" s="78" t="s">
        <v>237</v>
      </c>
      <c r="M184" s="115"/>
      <c r="N184" s="81">
        <v>250000</v>
      </c>
      <c r="P184" s="80">
        <v>46112</v>
      </c>
      <c r="Q184" s="78" t="s">
        <v>277</v>
      </c>
      <c r="R184" s="116"/>
      <c r="S184" s="99">
        <v>136000</v>
      </c>
      <c r="U184" s="23"/>
      <c r="W184" s="91"/>
      <c r="X184" s="3"/>
      <c r="Y184" s="82"/>
    </row>
    <row r="185" spans="11:25" ht="14.25" customHeight="1" x14ac:dyDescent="0.25">
      <c r="K185" s="80">
        <v>46078</v>
      </c>
      <c r="L185" s="78" t="s">
        <v>182</v>
      </c>
      <c r="M185" s="115"/>
      <c r="N185" s="110">
        <v>429300</v>
      </c>
      <c r="P185" s="80">
        <v>46112</v>
      </c>
      <c r="Q185" s="78" t="s">
        <v>176</v>
      </c>
      <c r="R185" s="116"/>
      <c r="S185" s="99">
        <v>12800</v>
      </c>
      <c r="U185" s="23"/>
      <c r="W185" s="132"/>
      <c r="X185" s="3"/>
      <c r="Y185" s="82"/>
    </row>
    <row r="186" spans="11:25" ht="14.25" customHeight="1" x14ac:dyDescent="0.25">
      <c r="K186" s="80">
        <v>46078</v>
      </c>
      <c r="L186" s="78" t="s">
        <v>133</v>
      </c>
      <c r="M186" s="115"/>
      <c r="N186" s="110">
        <v>1442400</v>
      </c>
      <c r="P186" s="80">
        <v>46112</v>
      </c>
      <c r="Q186" s="78" t="s">
        <v>278</v>
      </c>
      <c r="R186" s="116"/>
      <c r="S186" s="99">
        <v>18100</v>
      </c>
      <c r="U186" s="23"/>
      <c r="W186" s="91"/>
      <c r="X186" s="3"/>
      <c r="Y186" s="82"/>
    </row>
    <row r="187" spans="11:25" ht="14.25" customHeight="1" x14ac:dyDescent="0.25">
      <c r="K187" s="80">
        <v>46078</v>
      </c>
      <c r="L187" s="78" t="s">
        <v>195</v>
      </c>
      <c r="M187" s="115"/>
      <c r="N187" s="117">
        <v>164800</v>
      </c>
      <c r="P187" s="80">
        <v>46112</v>
      </c>
      <c r="Q187" s="78" t="s">
        <v>152</v>
      </c>
      <c r="R187" s="116"/>
      <c r="S187" s="99">
        <v>107029</v>
      </c>
      <c r="U187" s="23"/>
      <c r="W187" s="91"/>
      <c r="X187" s="3"/>
      <c r="Y187" s="82"/>
    </row>
    <row r="188" spans="11:25" ht="14.25" customHeight="1" x14ac:dyDescent="0.25">
      <c r="K188" s="80">
        <v>46078</v>
      </c>
      <c r="L188" s="78" t="s">
        <v>134</v>
      </c>
      <c r="M188" s="115"/>
      <c r="N188" s="81">
        <v>348000</v>
      </c>
      <c r="P188" s="80">
        <v>46112</v>
      </c>
      <c r="Q188" s="78" t="s">
        <v>152</v>
      </c>
      <c r="R188" s="116"/>
      <c r="S188" s="99">
        <v>111002</v>
      </c>
      <c r="U188" s="23"/>
      <c r="W188" s="91"/>
      <c r="X188" s="3"/>
      <c r="Y188" s="82"/>
    </row>
    <row r="189" spans="11:25" ht="14.25" customHeight="1" x14ac:dyDescent="0.25">
      <c r="K189" s="80">
        <v>46079</v>
      </c>
      <c r="L189" s="78" t="s">
        <v>239</v>
      </c>
      <c r="M189" s="115"/>
      <c r="N189" s="81">
        <v>547455</v>
      </c>
      <c r="P189" s="80">
        <v>46112</v>
      </c>
      <c r="Q189" s="78" t="s">
        <v>152</v>
      </c>
      <c r="R189" s="116"/>
      <c r="S189" s="99">
        <v>100024</v>
      </c>
      <c r="U189" s="23"/>
      <c r="W189" s="91"/>
      <c r="X189" s="3"/>
      <c r="Y189" s="82"/>
    </row>
    <row r="190" spans="11:25" ht="14.25" customHeight="1" x14ac:dyDescent="0.25">
      <c r="K190" s="80">
        <v>46079</v>
      </c>
      <c r="L190" s="78" t="s">
        <v>180</v>
      </c>
      <c r="M190" s="115"/>
      <c r="N190" s="81">
        <v>72165</v>
      </c>
      <c r="P190" s="80">
        <v>46112</v>
      </c>
      <c r="Q190" s="78" t="s">
        <v>279</v>
      </c>
      <c r="R190" s="116"/>
      <c r="S190" s="99">
        <v>48000</v>
      </c>
      <c r="U190" s="23"/>
      <c r="W190" s="132"/>
      <c r="X190" s="3"/>
      <c r="Y190" s="82"/>
    </row>
    <row r="191" spans="11:25" ht="14.25" customHeight="1" x14ac:dyDescent="0.25">
      <c r="K191" s="80">
        <v>46079</v>
      </c>
      <c r="L191" s="78" t="s">
        <v>240</v>
      </c>
      <c r="M191" s="115"/>
      <c r="N191" s="110">
        <v>411628.06</v>
      </c>
      <c r="P191" s="80">
        <v>46113</v>
      </c>
      <c r="Q191" s="78" t="s">
        <v>282</v>
      </c>
      <c r="R191" s="116"/>
      <c r="S191" s="99">
        <v>220000</v>
      </c>
      <c r="U191" s="23"/>
      <c r="W191" s="132"/>
      <c r="X191" s="3"/>
      <c r="Y191" s="82"/>
    </row>
    <row r="192" spans="11:25" ht="14.25" customHeight="1" x14ac:dyDescent="0.25">
      <c r="K192" s="80">
        <v>46080</v>
      </c>
      <c r="L192" s="78" t="s">
        <v>116</v>
      </c>
      <c r="M192" s="115"/>
      <c r="N192" s="117">
        <v>75000</v>
      </c>
      <c r="P192" s="80">
        <v>46113</v>
      </c>
      <c r="Q192" s="78" t="s">
        <v>175</v>
      </c>
      <c r="R192" s="116"/>
      <c r="S192" s="99">
        <v>34000</v>
      </c>
      <c r="U192" s="23"/>
      <c r="W192" s="91"/>
      <c r="X192" s="3"/>
      <c r="Y192" s="82"/>
    </row>
    <row r="193" spans="11:25" ht="14.25" customHeight="1" x14ac:dyDescent="0.25">
      <c r="K193" s="80">
        <v>46080</v>
      </c>
      <c r="L193" s="78" t="s">
        <v>125</v>
      </c>
      <c r="M193" s="115"/>
      <c r="N193" s="81">
        <v>800000</v>
      </c>
      <c r="P193" s="80">
        <v>46113</v>
      </c>
      <c r="Q193" s="78" t="s">
        <v>176</v>
      </c>
      <c r="R193" s="116"/>
      <c r="S193" s="99">
        <v>11200</v>
      </c>
      <c r="U193" s="23"/>
      <c r="W193" s="91"/>
      <c r="X193" s="3"/>
      <c r="Y193" s="82"/>
    </row>
    <row r="194" spans="11:25" ht="14.25" customHeight="1" x14ac:dyDescent="0.25">
      <c r="K194" s="80">
        <v>46080</v>
      </c>
      <c r="L194" s="78" t="s">
        <v>214</v>
      </c>
      <c r="M194" s="115"/>
      <c r="N194" s="110">
        <v>160000</v>
      </c>
      <c r="P194" s="80">
        <v>46113</v>
      </c>
      <c r="Q194" s="78" t="s">
        <v>138</v>
      </c>
      <c r="R194" s="116"/>
      <c r="S194" s="99">
        <v>9000</v>
      </c>
      <c r="U194" s="23"/>
      <c r="W194" s="91"/>
      <c r="X194" s="3"/>
      <c r="Y194" s="82"/>
    </row>
    <row r="195" spans="11:25" ht="14.25" customHeight="1" x14ac:dyDescent="0.25">
      <c r="K195" s="80">
        <v>46083</v>
      </c>
      <c r="L195" s="78" t="s">
        <v>125</v>
      </c>
      <c r="M195" s="115"/>
      <c r="N195" s="81">
        <v>99034</v>
      </c>
      <c r="P195" s="80">
        <v>46114</v>
      </c>
      <c r="Q195" s="78" t="s">
        <v>135</v>
      </c>
      <c r="R195" s="116"/>
      <c r="S195" s="99">
        <v>300000</v>
      </c>
      <c r="U195" s="23"/>
      <c r="W195" s="91"/>
      <c r="X195" s="3"/>
      <c r="Y195" s="82"/>
    </row>
    <row r="196" spans="11:25" ht="14.25" customHeight="1" x14ac:dyDescent="0.25">
      <c r="K196" s="80">
        <v>46083</v>
      </c>
      <c r="L196" s="78" t="s">
        <v>230</v>
      </c>
      <c r="M196" s="115"/>
      <c r="N196" s="81">
        <v>620000</v>
      </c>
      <c r="P196" s="80">
        <v>46114</v>
      </c>
      <c r="Q196" s="78" t="s">
        <v>135</v>
      </c>
      <c r="R196" s="116"/>
      <c r="S196" s="99">
        <v>150000</v>
      </c>
      <c r="U196" s="23"/>
      <c r="W196" s="91"/>
      <c r="X196" s="3"/>
      <c r="Y196" s="82"/>
    </row>
    <row r="197" spans="11:25" ht="14.25" customHeight="1" x14ac:dyDescent="0.25">
      <c r="K197" s="80">
        <v>46083</v>
      </c>
      <c r="L197" s="78" t="s">
        <v>123</v>
      </c>
      <c r="M197" s="115"/>
      <c r="N197" s="81">
        <v>210000</v>
      </c>
      <c r="P197" s="80">
        <v>46115</v>
      </c>
      <c r="Q197" s="78" t="s">
        <v>135</v>
      </c>
      <c r="R197" s="116"/>
      <c r="S197" s="99">
        <v>200000</v>
      </c>
      <c r="U197" s="23"/>
      <c r="W197" s="91"/>
      <c r="X197" s="3"/>
      <c r="Y197" s="82"/>
    </row>
    <row r="198" spans="11:25" ht="14.25" customHeight="1" x14ac:dyDescent="0.25">
      <c r="K198" s="80">
        <v>46083</v>
      </c>
      <c r="L198" s="78" t="s">
        <v>247</v>
      </c>
      <c r="M198" s="115"/>
      <c r="N198" s="110">
        <v>380000</v>
      </c>
      <c r="P198" s="80">
        <v>46118</v>
      </c>
      <c r="Q198" s="78" t="s">
        <v>138</v>
      </c>
      <c r="R198" s="116"/>
      <c r="S198" s="99">
        <v>10856</v>
      </c>
      <c r="U198" s="23"/>
      <c r="W198" s="91"/>
      <c r="X198" s="3"/>
      <c r="Y198" s="82"/>
    </row>
    <row r="199" spans="11:25" ht="14.25" customHeight="1" x14ac:dyDescent="0.25">
      <c r="K199" s="80">
        <v>46083</v>
      </c>
      <c r="L199" s="78" t="s">
        <v>222</v>
      </c>
      <c r="M199" s="115"/>
      <c r="N199" s="81">
        <v>632000</v>
      </c>
      <c r="P199" s="80">
        <v>46118</v>
      </c>
      <c r="Q199" s="78" t="s">
        <v>176</v>
      </c>
      <c r="R199" s="116"/>
      <c r="S199" s="99">
        <v>5099</v>
      </c>
      <c r="U199" s="23"/>
      <c r="W199" s="91"/>
      <c r="X199" s="3"/>
      <c r="Y199" s="82"/>
    </row>
    <row r="200" spans="11:25" ht="14.25" customHeight="1" x14ac:dyDescent="0.25">
      <c r="K200" s="80">
        <v>46083</v>
      </c>
      <c r="L200" s="78" t="s">
        <v>149</v>
      </c>
      <c r="M200" s="115"/>
      <c r="N200" s="81">
        <v>150000</v>
      </c>
      <c r="P200" s="80">
        <v>46120</v>
      </c>
      <c r="Q200" s="78" t="s">
        <v>135</v>
      </c>
      <c r="R200" s="116"/>
      <c r="S200" s="99">
        <v>300000</v>
      </c>
      <c r="U200" s="23"/>
      <c r="W200" s="91"/>
      <c r="X200" s="3"/>
      <c r="Y200" s="82"/>
    </row>
    <row r="201" spans="11:25" ht="14.25" customHeight="1" x14ac:dyDescent="0.25">
      <c r="K201" s="80">
        <v>46084</v>
      </c>
      <c r="L201" s="78" t="s">
        <v>116</v>
      </c>
      <c r="M201" s="115"/>
      <c r="N201" s="81">
        <v>222700</v>
      </c>
      <c r="P201" s="80">
        <v>46120</v>
      </c>
      <c r="Q201" s="78" t="s">
        <v>283</v>
      </c>
      <c r="R201" s="116"/>
      <c r="S201" s="99">
        <v>280000</v>
      </c>
      <c r="U201" s="23"/>
      <c r="W201" s="91"/>
      <c r="X201" s="3"/>
      <c r="Y201" s="82"/>
    </row>
    <row r="202" spans="11:25" ht="14.25" customHeight="1" x14ac:dyDescent="0.25">
      <c r="K202" s="80">
        <v>46085</v>
      </c>
      <c r="L202" s="78" t="s">
        <v>147</v>
      </c>
      <c r="M202" s="115"/>
      <c r="N202" s="81">
        <v>342000</v>
      </c>
      <c r="P202" s="80">
        <v>46120</v>
      </c>
      <c r="Q202" s="78" t="s">
        <v>284</v>
      </c>
      <c r="R202" s="116"/>
      <c r="S202" s="99">
        <v>110900</v>
      </c>
      <c r="U202" s="23"/>
      <c r="W202" s="91"/>
      <c r="X202" s="3"/>
      <c r="Y202" s="82"/>
    </row>
    <row r="203" spans="11:25" ht="14.25" customHeight="1" x14ac:dyDescent="0.25">
      <c r="K203" s="80">
        <v>46085</v>
      </c>
      <c r="L203" s="78" t="s">
        <v>146</v>
      </c>
      <c r="M203" s="115" t="s">
        <v>48</v>
      </c>
      <c r="N203" s="81">
        <v>230000</v>
      </c>
      <c r="P203" s="80">
        <v>46120</v>
      </c>
      <c r="Q203" s="78" t="s">
        <v>285</v>
      </c>
      <c r="R203" s="116"/>
      <c r="S203" s="99">
        <v>650000</v>
      </c>
      <c r="U203" s="23"/>
      <c r="W203" s="91"/>
      <c r="X203" s="3"/>
      <c r="Y203" s="82"/>
    </row>
    <row r="204" spans="11:25" ht="14.25" customHeight="1" x14ac:dyDescent="0.25">
      <c r="K204" s="80">
        <v>46085</v>
      </c>
      <c r="L204" s="78" t="s">
        <v>133</v>
      </c>
      <c r="M204" s="115"/>
      <c r="N204" s="110">
        <v>546000</v>
      </c>
      <c r="P204" s="80">
        <v>46120</v>
      </c>
      <c r="Q204" s="78" t="s">
        <v>138</v>
      </c>
      <c r="R204" s="116"/>
      <c r="S204" s="99">
        <v>8000</v>
      </c>
      <c r="U204" s="23"/>
      <c r="W204" s="91"/>
      <c r="X204" s="3"/>
      <c r="Y204" s="82"/>
    </row>
    <row r="205" spans="11:25" ht="14.25" customHeight="1" x14ac:dyDescent="0.25">
      <c r="K205" s="80">
        <v>46085</v>
      </c>
      <c r="L205" s="78" t="s">
        <v>179</v>
      </c>
      <c r="M205" s="115"/>
      <c r="N205" s="81">
        <v>465000</v>
      </c>
      <c r="P205" s="80">
        <v>46126</v>
      </c>
      <c r="Q205" s="78" t="s">
        <v>286</v>
      </c>
      <c r="R205" s="116"/>
      <c r="S205" s="99">
        <v>210000</v>
      </c>
      <c r="U205" s="23"/>
      <c r="W205" s="91"/>
      <c r="X205" s="3"/>
      <c r="Y205" s="82"/>
    </row>
    <row r="206" spans="11:25" ht="14.25" customHeight="1" x14ac:dyDescent="0.25">
      <c r="K206" s="80">
        <v>46085</v>
      </c>
      <c r="L206" s="78" t="s">
        <v>195</v>
      </c>
      <c r="M206" s="115"/>
      <c r="N206" s="110">
        <v>88500</v>
      </c>
      <c r="P206" s="80">
        <v>46122</v>
      </c>
      <c r="Q206" s="78" t="s">
        <v>138</v>
      </c>
      <c r="R206" s="116"/>
      <c r="S206" s="99">
        <v>8400</v>
      </c>
      <c r="U206" s="23"/>
      <c r="W206" s="91"/>
      <c r="X206" s="3"/>
      <c r="Y206" s="82"/>
    </row>
    <row r="207" spans="11:25" ht="14.25" customHeight="1" x14ac:dyDescent="0.25">
      <c r="K207" s="80">
        <v>46085</v>
      </c>
      <c r="L207" s="78" t="s">
        <v>94</v>
      </c>
      <c r="M207" s="115"/>
      <c r="N207" s="81">
        <v>265145.5</v>
      </c>
      <c r="P207" s="80">
        <v>46122</v>
      </c>
      <c r="Q207" s="78" t="s">
        <v>176</v>
      </c>
      <c r="R207" s="116"/>
      <c r="S207" s="99">
        <v>14000</v>
      </c>
      <c r="U207" s="23"/>
      <c r="V207" s="78"/>
      <c r="W207" s="91"/>
      <c r="X207" s="78"/>
      <c r="Y207" s="82"/>
    </row>
    <row r="208" spans="11:25" ht="14.25" customHeight="1" x14ac:dyDescent="0.25">
      <c r="K208" s="80">
        <v>46085</v>
      </c>
      <c r="L208" s="78" t="s">
        <v>226</v>
      </c>
      <c r="M208" s="115"/>
      <c r="N208" s="110">
        <v>220000</v>
      </c>
      <c r="P208" s="80">
        <v>46122</v>
      </c>
      <c r="Q208" s="78" t="s">
        <v>135</v>
      </c>
      <c r="R208" s="116"/>
      <c r="S208" s="99">
        <v>300000</v>
      </c>
      <c r="U208" s="23"/>
      <c r="V208" s="78"/>
      <c r="W208" s="91"/>
      <c r="X208" s="78"/>
      <c r="Y208" s="82"/>
    </row>
    <row r="209" spans="11:25" ht="14.25" customHeight="1" x14ac:dyDescent="0.25">
      <c r="K209" s="80">
        <v>46085</v>
      </c>
      <c r="L209" s="78" t="s">
        <v>133</v>
      </c>
      <c r="M209" s="115"/>
      <c r="N209" s="110">
        <v>300000</v>
      </c>
      <c r="P209" s="80">
        <v>46122</v>
      </c>
      <c r="Q209" s="78" t="s">
        <v>112</v>
      </c>
      <c r="R209" s="116"/>
      <c r="S209" s="99">
        <v>40000</v>
      </c>
      <c r="U209" s="23"/>
      <c r="V209" s="78"/>
      <c r="W209" s="91"/>
      <c r="X209" s="78"/>
      <c r="Y209" s="82"/>
    </row>
    <row r="210" spans="11:25" ht="14.25" customHeight="1" x14ac:dyDescent="0.25">
      <c r="K210" s="80">
        <v>46085</v>
      </c>
      <c r="L210" s="78" t="s">
        <v>167</v>
      </c>
      <c r="M210" s="115"/>
      <c r="N210" s="81">
        <v>196500</v>
      </c>
      <c r="P210" s="80">
        <v>46125</v>
      </c>
      <c r="Q210" s="78" t="s">
        <v>152</v>
      </c>
      <c r="R210" s="116"/>
      <c r="S210" s="99">
        <v>160000</v>
      </c>
      <c r="U210" s="23"/>
      <c r="V210" s="78"/>
      <c r="W210" s="91"/>
      <c r="X210" s="78"/>
      <c r="Y210" s="82"/>
    </row>
    <row r="211" spans="11:25" ht="14.25" customHeight="1" x14ac:dyDescent="0.25">
      <c r="K211" s="80">
        <v>46085</v>
      </c>
      <c r="L211" s="78" t="s">
        <v>149</v>
      </c>
      <c r="M211" s="115"/>
      <c r="N211" s="81">
        <v>70000</v>
      </c>
      <c r="P211" s="80">
        <v>46123</v>
      </c>
      <c r="Q211" s="78" t="s">
        <v>135</v>
      </c>
      <c r="R211" s="116"/>
      <c r="S211" s="99">
        <v>500000</v>
      </c>
      <c r="U211" s="23"/>
      <c r="V211" s="78"/>
      <c r="W211" s="91"/>
      <c r="X211" s="78"/>
      <c r="Y211" s="82"/>
    </row>
    <row r="212" spans="11:25" ht="14.25" customHeight="1" x14ac:dyDescent="0.25">
      <c r="K212" s="80">
        <v>46086</v>
      </c>
      <c r="L212" s="78" t="s">
        <v>146</v>
      </c>
      <c r="M212" s="115" t="s">
        <v>48</v>
      </c>
      <c r="N212" s="81">
        <v>569000</v>
      </c>
      <c r="P212" s="80">
        <v>46126</v>
      </c>
      <c r="Q212" s="78" t="s">
        <v>138</v>
      </c>
      <c r="R212" s="116"/>
      <c r="S212" s="99">
        <v>7565</v>
      </c>
      <c r="U212" s="23"/>
      <c r="V212" s="78"/>
      <c r="W212" s="91"/>
      <c r="X212" s="78"/>
      <c r="Y212" s="82"/>
    </row>
    <row r="213" spans="11:25" ht="14.25" customHeight="1" x14ac:dyDescent="0.25">
      <c r="K213" s="80">
        <v>46086</v>
      </c>
      <c r="L213" s="78" t="s">
        <v>180</v>
      </c>
      <c r="M213" s="115"/>
      <c r="N213" s="81">
        <v>345770</v>
      </c>
      <c r="P213" s="80">
        <v>46126</v>
      </c>
      <c r="Q213" s="78" t="s">
        <v>176</v>
      </c>
      <c r="R213" s="116"/>
      <c r="S213" s="99">
        <v>8000</v>
      </c>
      <c r="U213" s="23"/>
      <c r="V213" s="78"/>
      <c r="W213" s="91"/>
      <c r="X213" s="78"/>
      <c r="Y213" s="82"/>
    </row>
    <row r="214" spans="11:25" ht="14.25" customHeight="1" x14ac:dyDescent="0.25">
      <c r="K214" s="80">
        <v>46086</v>
      </c>
      <c r="L214" s="78" t="s">
        <v>127</v>
      </c>
      <c r="M214" s="115"/>
      <c r="N214" s="117">
        <v>171700</v>
      </c>
      <c r="P214" s="80">
        <v>46126</v>
      </c>
      <c r="Q214" s="78" t="s">
        <v>138</v>
      </c>
      <c r="R214" s="116"/>
      <c r="S214" s="99">
        <v>8500</v>
      </c>
      <c r="U214" s="23"/>
      <c r="V214" s="78"/>
      <c r="W214" s="91"/>
      <c r="X214" s="78"/>
      <c r="Y214" s="82"/>
    </row>
    <row r="215" spans="11:25" ht="14.25" customHeight="1" x14ac:dyDescent="0.25">
      <c r="K215" s="80">
        <v>46087</v>
      </c>
      <c r="L215" s="78" t="s">
        <v>146</v>
      </c>
      <c r="M215" s="115" t="s">
        <v>48</v>
      </c>
      <c r="N215" s="81">
        <f>179000+9022.5</f>
        <v>188022.5</v>
      </c>
      <c r="P215" s="80">
        <v>46127</v>
      </c>
      <c r="Q215" s="78" t="s">
        <v>176</v>
      </c>
      <c r="R215" s="116"/>
      <c r="S215" s="99">
        <v>12000</v>
      </c>
      <c r="U215" s="23"/>
      <c r="V215" s="78"/>
      <c r="W215" s="91"/>
      <c r="X215" s="78"/>
      <c r="Y215" s="82"/>
    </row>
    <row r="216" spans="11:25" ht="14.25" customHeight="1" x14ac:dyDescent="0.25">
      <c r="K216" s="80">
        <v>46087</v>
      </c>
      <c r="L216" s="78" t="s">
        <v>209</v>
      </c>
      <c r="M216" s="115"/>
      <c r="N216" s="110">
        <v>210000</v>
      </c>
      <c r="P216" s="80">
        <v>46127</v>
      </c>
      <c r="Q216" s="78" t="s">
        <v>138</v>
      </c>
      <c r="R216" s="116"/>
      <c r="S216" s="99">
        <v>8000</v>
      </c>
      <c r="U216" s="23"/>
      <c r="V216" s="78"/>
      <c r="W216" s="91"/>
      <c r="X216" s="78"/>
      <c r="Y216" s="82"/>
    </row>
    <row r="217" spans="11:25" ht="14.25" customHeight="1" x14ac:dyDescent="0.25">
      <c r="K217" s="80">
        <v>46087</v>
      </c>
      <c r="L217" s="78" t="s">
        <v>248</v>
      </c>
      <c r="M217" s="115"/>
      <c r="N217" s="81">
        <v>374339.67</v>
      </c>
      <c r="P217" s="80">
        <v>46128</v>
      </c>
      <c r="Q217" s="78" t="s">
        <v>135</v>
      </c>
      <c r="R217" s="116"/>
      <c r="S217" s="99">
        <v>250000</v>
      </c>
      <c r="U217" s="23"/>
      <c r="V217" s="78"/>
      <c r="W217" s="91"/>
      <c r="X217" s="78"/>
      <c r="Y217" s="82"/>
    </row>
    <row r="218" spans="11:25" ht="14.25" customHeight="1" x14ac:dyDescent="0.25">
      <c r="K218" s="80">
        <v>46087</v>
      </c>
      <c r="L218" s="78" t="s">
        <v>249</v>
      </c>
      <c r="M218" s="115"/>
      <c r="N218" s="110">
        <v>590000</v>
      </c>
      <c r="P218" s="80">
        <v>46129</v>
      </c>
      <c r="Q218" s="78" t="s">
        <v>216</v>
      </c>
      <c r="R218" s="116"/>
      <c r="S218" s="99">
        <v>59000</v>
      </c>
      <c r="U218" s="23"/>
      <c r="V218" s="78"/>
      <c r="W218" s="91"/>
      <c r="X218" s="78"/>
      <c r="Y218" s="82"/>
    </row>
    <row r="219" spans="11:25" ht="14.25" customHeight="1" x14ac:dyDescent="0.25">
      <c r="K219" s="80">
        <v>46087</v>
      </c>
      <c r="L219" s="78" t="s">
        <v>210</v>
      </c>
      <c r="M219" s="115"/>
      <c r="N219" s="81">
        <v>666056.32999999996</v>
      </c>
      <c r="P219" s="80">
        <v>46129</v>
      </c>
      <c r="Q219" s="78" t="s">
        <v>135</v>
      </c>
      <c r="R219" s="116"/>
      <c r="S219" s="99">
        <v>300000</v>
      </c>
      <c r="U219" s="23"/>
      <c r="V219" s="78"/>
      <c r="W219" s="91"/>
      <c r="X219" s="78"/>
      <c r="Y219" s="82"/>
    </row>
    <row r="220" spans="11:25" ht="14.25" customHeight="1" x14ac:dyDescent="0.25">
      <c r="K220" s="80">
        <v>46088</v>
      </c>
      <c r="L220" s="78" t="s">
        <v>230</v>
      </c>
      <c r="M220" s="115"/>
      <c r="N220" s="81">
        <v>149000</v>
      </c>
      <c r="P220" s="80">
        <v>46129</v>
      </c>
      <c r="Q220" s="78" t="s">
        <v>135</v>
      </c>
      <c r="R220" s="116"/>
      <c r="S220" s="99">
        <v>500000</v>
      </c>
      <c r="U220" s="23"/>
      <c r="W220" s="91"/>
      <c r="X220" s="3"/>
      <c r="Y220" s="82"/>
    </row>
    <row r="221" spans="11:25" ht="14.25" customHeight="1" x14ac:dyDescent="0.25">
      <c r="K221" s="80">
        <v>46090</v>
      </c>
      <c r="L221" s="78" t="s">
        <v>230</v>
      </c>
      <c r="M221" s="115"/>
      <c r="N221" s="81">
        <v>180000</v>
      </c>
      <c r="P221" s="80">
        <v>46129</v>
      </c>
      <c r="Q221" s="78" t="s">
        <v>135</v>
      </c>
      <c r="R221" s="116"/>
      <c r="S221" s="99">
        <v>300000</v>
      </c>
      <c r="U221" s="23"/>
      <c r="W221" s="91"/>
      <c r="X221" s="3"/>
      <c r="Y221" s="82"/>
    </row>
    <row r="222" spans="11:25" ht="14.25" customHeight="1" x14ac:dyDescent="0.25">
      <c r="K222" s="80">
        <v>46090</v>
      </c>
      <c r="L222" s="78" t="s">
        <v>250</v>
      </c>
      <c r="M222" s="115"/>
      <c r="N222" s="110">
        <v>115000</v>
      </c>
      <c r="P222" s="80">
        <v>46128</v>
      </c>
      <c r="Q222" s="78" t="s">
        <v>138</v>
      </c>
      <c r="R222" s="116"/>
      <c r="S222" s="99">
        <v>10000</v>
      </c>
      <c r="U222" s="23"/>
      <c r="W222" s="91"/>
      <c r="X222" s="3"/>
      <c r="Y222" s="82"/>
    </row>
    <row r="223" spans="11:25" ht="14.25" customHeight="1" x14ac:dyDescent="0.25">
      <c r="K223" s="80">
        <v>46090</v>
      </c>
      <c r="L223" s="78" t="s">
        <v>250</v>
      </c>
      <c r="M223" s="115"/>
      <c r="N223" s="110">
        <v>150000</v>
      </c>
      <c r="P223" s="80">
        <v>46128</v>
      </c>
      <c r="Q223" s="78" t="s">
        <v>138</v>
      </c>
      <c r="R223" s="116"/>
      <c r="S223" s="99">
        <v>7800</v>
      </c>
      <c r="U223" s="23"/>
      <c r="W223" s="91"/>
      <c r="X223" s="3"/>
      <c r="Y223" s="82"/>
    </row>
    <row r="224" spans="11:25" ht="14.25" customHeight="1" x14ac:dyDescent="0.25">
      <c r="K224" s="80">
        <v>46090</v>
      </c>
      <c r="L224" s="78" t="s">
        <v>250</v>
      </c>
      <c r="M224" s="115"/>
      <c r="N224" s="110">
        <v>200000</v>
      </c>
      <c r="P224" s="80">
        <v>46128</v>
      </c>
      <c r="Q224" s="78" t="s">
        <v>176</v>
      </c>
      <c r="R224" s="116"/>
      <c r="S224" s="99">
        <v>13000</v>
      </c>
      <c r="U224" s="23"/>
      <c r="W224" s="91"/>
      <c r="X224" s="3"/>
      <c r="Y224" s="82"/>
    </row>
    <row r="225" spans="11:25" ht="14.25" customHeight="1" x14ac:dyDescent="0.25">
      <c r="K225" s="80">
        <v>46090</v>
      </c>
      <c r="L225" s="78" t="s">
        <v>230</v>
      </c>
      <c r="M225" s="115"/>
      <c r="N225" s="81">
        <v>95000</v>
      </c>
      <c r="P225" s="80">
        <v>46129</v>
      </c>
      <c r="Q225" s="78" t="s">
        <v>176</v>
      </c>
      <c r="R225" s="116"/>
      <c r="S225" s="99">
        <v>8500</v>
      </c>
      <c r="U225" s="23"/>
      <c r="W225" s="91"/>
      <c r="X225" s="3"/>
      <c r="Y225" s="82"/>
    </row>
    <row r="226" spans="11:25" ht="14.25" customHeight="1" x14ac:dyDescent="0.25">
      <c r="K226" s="80">
        <v>46108</v>
      </c>
      <c r="L226" s="78" t="s">
        <v>155</v>
      </c>
      <c r="M226" s="115"/>
      <c r="N226" s="81">
        <v>400000</v>
      </c>
      <c r="P226" s="80">
        <v>46132</v>
      </c>
      <c r="Q226" s="78" t="s">
        <v>138</v>
      </c>
      <c r="R226" s="116"/>
      <c r="S226" s="99">
        <v>4000</v>
      </c>
      <c r="U226" s="23"/>
      <c r="W226" s="91"/>
      <c r="X226" s="3"/>
      <c r="Y226" s="82"/>
    </row>
    <row r="227" spans="11:25" ht="14.25" customHeight="1" x14ac:dyDescent="0.25">
      <c r="K227" s="80">
        <v>46116</v>
      </c>
      <c r="L227" s="78" t="s">
        <v>155</v>
      </c>
      <c r="M227" s="115"/>
      <c r="N227" s="81">
        <v>302332</v>
      </c>
      <c r="P227" s="80">
        <v>46132</v>
      </c>
      <c r="Q227" s="78" t="s">
        <v>112</v>
      </c>
      <c r="R227" s="116"/>
      <c r="S227" s="99">
        <v>70000</v>
      </c>
      <c r="U227" s="23"/>
      <c r="W227" s="91"/>
      <c r="X227" s="3"/>
    </row>
    <row r="228" spans="11:25" ht="14.25" customHeight="1" x14ac:dyDescent="0.25">
      <c r="K228" s="80">
        <v>46083</v>
      </c>
      <c r="L228" s="78" t="s">
        <v>154</v>
      </c>
      <c r="M228" s="115"/>
      <c r="N228" s="81">
        <v>205046.35</v>
      </c>
      <c r="P228" s="80">
        <v>46132</v>
      </c>
      <c r="Q228" s="78" t="s">
        <v>176</v>
      </c>
      <c r="R228" s="116"/>
      <c r="S228" s="99">
        <v>11000</v>
      </c>
      <c r="U228" s="23"/>
      <c r="W228" s="91"/>
      <c r="X228" s="3"/>
    </row>
    <row r="229" spans="11:25" ht="14.25" customHeight="1" x14ac:dyDescent="0.25">
      <c r="K229" s="80">
        <v>46117</v>
      </c>
      <c r="L229" s="78" t="s">
        <v>155</v>
      </c>
      <c r="M229" s="115"/>
      <c r="N229" s="81">
        <v>306041.12</v>
      </c>
      <c r="P229" s="80">
        <v>46133</v>
      </c>
      <c r="Q229" s="78" t="s">
        <v>290</v>
      </c>
      <c r="R229" s="116"/>
      <c r="S229" s="99">
        <v>16000</v>
      </c>
      <c r="U229" s="23"/>
      <c r="W229" s="91"/>
      <c r="X229" s="3"/>
    </row>
    <row r="230" spans="11:25" ht="14.25" customHeight="1" x14ac:dyDescent="0.25">
      <c r="K230" s="80">
        <v>46105</v>
      </c>
      <c r="L230" s="78" t="s">
        <v>154</v>
      </c>
      <c r="M230" s="115"/>
      <c r="N230" s="81">
        <v>709111.33000000007</v>
      </c>
      <c r="P230" s="80">
        <v>46133</v>
      </c>
      <c r="Q230" s="78" t="s">
        <v>175</v>
      </c>
      <c r="R230" s="116"/>
      <c r="S230" s="99">
        <v>63000</v>
      </c>
      <c r="U230" s="23"/>
      <c r="W230" s="91"/>
      <c r="X230" s="3"/>
    </row>
    <row r="231" spans="11:25" ht="14.25" customHeight="1" x14ac:dyDescent="0.25">
      <c r="K231" s="80">
        <v>46099</v>
      </c>
      <c r="L231" s="78" t="s">
        <v>154</v>
      </c>
      <c r="M231" s="115"/>
      <c r="N231" s="81">
        <v>709111.33000000007</v>
      </c>
      <c r="P231" s="80">
        <v>46134</v>
      </c>
      <c r="Q231" s="78" t="s">
        <v>138</v>
      </c>
      <c r="R231" s="116"/>
      <c r="S231" s="99">
        <v>10000</v>
      </c>
      <c r="U231" s="23"/>
      <c r="W231" s="91"/>
      <c r="X231" s="3"/>
    </row>
    <row r="232" spans="11:25" ht="14.25" customHeight="1" x14ac:dyDescent="0.25">
      <c r="K232" s="80">
        <v>46093</v>
      </c>
      <c r="L232" s="78" t="s">
        <v>154</v>
      </c>
      <c r="M232" s="115"/>
      <c r="N232" s="81">
        <v>400000</v>
      </c>
      <c r="P232" s="80">
        <v>46133</v>
      </c>
      <c r="Q232" s="78" t="s">
        <v>138</v>
      </c>
      <c r="R232" s="116"/>
      <c r="S232" s="151">
        <v>13200</v>
      </c>
      <c r="U232" s="23"/>
      <c r="W232" s="91"/>
      <c r="X232" s="3"/>
    </row>
    <row r="233" spans="11:25" ht="14.25" customHeight="1" x14ac:dyDescent="0.25">
      <c r="K233" s="80">
        <v>46101</v>
      </c>
      <c r="L233" s="78" t="s">
        <v>154</v>
      </c>
      <c r="M233" s="115"/>
      <c r="N233" s="81">
        <v>300000</v>
      </c>
      <c r="P233" s="80">
        <v>46133</v>
      </c>
      <c r="Q233" s="78" t="s">
        <v>176</v>
      </c>
      <c r="R233" s="116"/>
      <c r="S233" s="151">
        <v>12300</v>
      </c>
      <c r="U233" s="23"/>
      <c r="W233" s="91"/>
      <c r="X233" s="3"/>
    </row>
    <row r="234" spans="11:25" ht="14.25" customHeight="1" x14ac:dyDescent="0.25">
      <c r="K234" s="80">
        <v>46090</v>
      </c>
      <c r="L234" s="78" t="s">
        <v>230</v>
      </c>
      <c r="M234" s="115"/>
      <c r="N234" s="81">
        <v>180000</v>
      </c>
      <c r="P234" s="80">
        <v>46134</v>
      </c>
      <c r="Q234" s="78" t="s">
        <v>176</v>
      </c>
      <c r="R234" s="116"/>
      <c r="S234" s="151">
        <v>9000</v>
      </c>
      <c r="U234" s="23"/>
      <c r="W234" s="91"/>
      <c r="X234" s="3"/>
    </row>
    <row r="235" spans="11:25" ht="14.25" customHeight="1" x14ac:dyDescent="0.25">
      <c r="K235" s="80">
        <v>46091</v>
      </c>
      <c r="L235" s="78" t="s">
        <v>230</v>
      </c>
      <c r="M235" s="115"/>
      <c r="N235" s="81">
        <v>36732.379999999997</v>
      </c>
      <c r="P235" s="80">
        <v>46135</v>
      </c>
      <c r="Q235" s="78" t="s">
        <v>138</v>
      </c>
      <c r="R235" s="116"/>
      <c r="S235" s="99">
        <v>8087</v>
      </c>
      <c r="U235" s="23"/>
      <c r="X235" s="3"/>
    </row>
    <row r="236" spans="11:25" ht="14.25" customHeight="1" x14ac:dyDescent="0.25">
      <c r="K236" s="80">
        <v>46091</v>
      </c>
      <c r="L236" s="78" t="s">
        <v>251</v>
      </c>
      <c r="M236" s="115"/>
      <c r="N236" s="81">
        <v>190000</v>
      </c>
      <c r="P236" s="80">
        <v>46135</v>
      </c>
      <c r="Q236" s="78" t="s">
        <v>176</v>
      </c>
      <c r="R236" s="116"/>
      <c r="S236" s="99">
        <v>10400</v>
      </c>
      <c r="X236" s="3"/>
    </row>
    <row r="237" spans="11:25" ht="14.25" customHeight="1" x14ac:dyDescent="0.25">
      <c r="K237" s="80">
        <v>46091</v>
      </c>
      <c r="L237" s="78" t="s">
        <v>125</v>
      </c>
      <c r="M237" s="115"/>
      <c r="N237" s="110">
        <v>600000</v>
      </c>
      <c r="P237" s="80">
        <v>46136</v>
      </c>
      <c r="Q237" s="78" t="s">
        <v>112</v>
      </c>
      <c r="R237" s="116"/>
      <c r="S237" s="99">
        <v>80000</v>
      </c>
      <c r="X237" s="3"/>
    </row>
    <row r="238" spans="11:25" ht="14.25" customHeight="1" x14ac:dyDescent="0.25">
      <c r="K238" s="80">
        <v>46091</v>
      </c>
      <c r="L238" s="78" t="s">
        <v>252</v>
      </c>
      <c r="M238" s="115"/>
      <c r="N238" s="81">
        <v>99034</v>
      </c>
      <c r="P238" s="80">
        <v>46136</v>
      </c>
      <c r="Q238" s="78" t="s">
        <v>135</v>
      </c>
      <c r="R238" s="116"/>
      <c r="S238" s="99">
        <v>300000</v>
      </c>
      <c r="X238" s="3"/>
    </row>
    <row r="239" spans="11:25" ht="14.25" customHeight="1" x14ac:dyDescent="0.25">
      <c r="K239" s="80">
        <v>46091</v>
      </c>
      <c r="L239" s="78" t="s">
        <v>147</v>
      </c>
      <c r="M239" s="115"/>
      <c r="N239" s="81">
        <v>259682.5</v>
      </c>
      <c r="P239" s="80">
        <v>46136</v>
      </c>
      <c r="Q239" s="78" t="s">
        <v>135</v>
      </c>
      <c r="R239" s="116"/>
      <c r="S239" s="99">
        <v>512852.75</v>
      </c>
      <c r="X239" s="3"/>
    </row>
    <row r="240" spans="11:25" ht="14.25" customHeight="1" x14ac:dyDescent="0.25">
      <c r="K240" s="80">
        <v>46092</v>
      </c>
      <c r="L240" s="78" t="s">
        <v>143</v>
      </c>
      <c r="M240" s="115"/>
      <c r="N240" s="110">
        <v>210000</v>
      </c>
      <c r="P240" s="80">
        <v>46140</v>
      </c>
      <c r="Q240" s="78" t="s">
        <v>152</v>
      </c>
      <c r="R240" s="116"/>
      <c r="S240" s="99">
        <v>137000</v>
      </c>
      <c r="X240" s="3"/>
    </row>
    <row r="241" spans="11:24" ht="14.25" customHeight="1" x14ac:dyDescent="0.25">
      <c r="K241" s="80">
        <v>46092</v>
      </c>
      <c r="L241" s="78" t="s">
        <v>184</v>
      </c>
      <c r="M241" s="115"/>
      <c r="N241" s="110">
        <v>407451</v>
      </c>
      <c r="P241" s="80">
        <v>46140</v>
      </c>
      <c r="Q241" s="78" t="s">
        <v>292</v>
      </c>
      <c r="R241" s="116"/>
      <c r="S241" s="99">
        <f>145000*2</f>
        <v>290000</v>
      </c>
      <c r="X241" s="3"/>
    </row>
    <row r="242" spans="11:24" ht="14.25" customHeight="1" x14ac:dyDescent="0.25">
      <c r="K242" s="80">
        <v>46092</v>
      </c>
      <c r="L242" s="78" t="s">
        <v>253</v>
      </c>
      <c r="M242" s="115"/>
      <c r="N242" s="81">
        <v>128788.55</v>
      </c>
      <c r="P242" s="80">
        <v>46140</v>
      </c>
      <c r="Q242" s="78" t="s">
        <v>138</v>
      </c>
      <c r="R242" s="116"/>
      <c r="S242" s="99">
        <v>10000</v>
      </c>
      <c r="X242" s="3"/>
    </row>
    <row r="243" spans="11:24" ht="14.25" customHeight="1" x14ac:dyDescent="0.25">
      <c r="K243" s="80">
        <v>46092</v>
      </c>
      <c r="L243" s="78" t="s">
        <v>136</v>
      </c>
      <c r="M243" s="115"/>
      <c r="N243" s="110">
        <v>38800</v>
      </c>
      <c r="P243" s="80">
        <v>46141</v>
      </c>
      <c r="Q243" s="78" t="s">
        <v>236</v>
      </c>
      <c r="R243" s="116"/>
      <c r="S243" s="99">
        <v>34000</v>
      </c>
      <c r="X243" s="3"/>
    </row>
    <row r="244" spans="11:24" ht="14.25" customHeight="1" x14ac:dyDescent="0.25">
      <c r="K244" s="80">
        <v>46092</v>
      </c>
      <c r="L244" s="78" t="s">
        <v>254</v>
      </c>
      <c r="M244" s="115"/>
      <c r="N244" s="81">
        <v>380000</v>
      </c>
      <c r="P244" s="80">
        <v>46141</v>
      </c>
      <c r="Q244" s="78" t="s">
        <v>138</v>
      </c>
      <c r="R244" s="116"/>
      <c r="S244" s="99">
        <v>5097</v>
      </c>
      <c r="X244" s="3"/>
    </row>
    <row r="245" spans="11:24" ht="14.25" customHeight="1" x14ac:dyDescent="0.25">
      <c r="K245" s="80">
        <v>46092</v>
      </c>
      <c r="L245" s="78" t="s">
        <v>214</v>
      </c>
      <c r="M245" s="115"/>
      <c r="N245" s="81">
        <v>210000</v>
      </c>
      <c r="P245" s="80">
        <v>46141</v>
      </c>
      <c r="Q245" s="78" t="s">
        <v>176</v>
      </c>
      <c r="R245" s="116"/>
      <c r="S245" s="99">
        <v>9400</v>
      </c>
      <c r="X245" s="3"/>
    </row>
    <row r="246" spans="11:24" ht="14.25" customHeight="1" x14ac:dyDescent="0.25">
      <c r="K246" s="80">
        <v>46092</v>
      </c>
      <c r="L246" s="78" t="s">
        <v>225</v>
      </c>
      <c r="M246" s="115"/>
      <c r="N246" s="81">
        <v>300000</v>
      </c>
      <c r="P246" s="80">
        <v>46142</v>
      </c>
      <c r="Q246" s="78" t="s">
        <v>135</v>
      </c>
      <c r="R246" s="116"/>
      <c r="S246" s="99">
        <v>300000</v>
      </c>
      <c r="X246" s="3"/>
    </row>
    <row r="247" spans="11:24" ht="14.25" customHeight="1" x14ac:dyDescent="0.25">
      <c r="K247" s="80">
        <v>46093</v>
      </c>
      <c r="L247" s="78" t="s">
        <v>256</v>
      </c>
      <c r="M247" s="115"/>
      <c r="N247" s="81">
        <v>263500</v>
      </c>
      <c r="P247" s="80">
        <v>46143</v>
      </c>
      <c r="Q247" s="78" t="s">
        <v>289</v>
      </c>
      <c r="R247" s="116"/>
      <c r="S247" s="99">
        <v>631404.27</v>
      </c>
      <c r="X247" s="3"/>
    </row>
    <row r="248" spans="11:24" ht="14.25" customHeight="1" x14ac:dyDescent="0.25">
      <c r="K248" s="80">
        <v>46093</v>
      </c>
      <c r="L248" s="78" t="s">
        <v>149</v>
      </c>
      <c r="M248" s="115"/>
      <c r="N248" s="81">
        <v>66000</v>
      </c>
      <c r="P248" s="80">
        <v>46146</v>
      </c>
      <c r="Q248" s="78" t="s">
        <v>297</v>
      </c>
      <c r="R248" s="116"/>
      <c r="S248" s="99">
        <v>280000</v>
      </c>
      <c r="X248" s="3"/>
    </row>
    <row r="249" spans="11:24" ht="14.25" customHeight="1" x14ac:dyDescent="0.25">
      <c r="K249" s="80">
        <v>46093</v>
      </c>
      <c r="L249" s="78" t="s">
        <v>252</v>
      </c>
      <c r="M249" s="115"/>
      <c r="N249" s="81">
        <v>226936</v>
      </c>
      <c r="P249" s="80">
        <v>46146</v>
      </c>
      <c r="Q249" s="78" t="s">
        <v>298</v>
      </c>
      <c r="R249" s="116"/>
      <c r="S249" s="99">
        <v>90000</v>
      </c>
      <c r="X249" s="3"/>
    </row>
    <row r="250" spans="11:24" ht="14.25" customHeight="1" x14ac:dyDescent="0.25">
      <c r="K250" s="80">
        <v>46093</v>
      </c>
      <c r="L250" s="78" t="s">
        <v>133</v>
      </c>
      <c r="M250" s="115"/>
      <c r="N250" s="81">
        <v>413000</v>
      </c>
      <c r="P250" s="80">
        <v>46162</v>
      </c>
      <c r="Q250" s="107" t="s">
        <v>300</v>
      </c>
      <c r="R250" s="116"/>
      <c r="S250" s="99"/>
      <c r="X250" s="3"/>
    </row>
    <row r="251" spans="11:24" ht="14.25" customHeight="1" x14ac:dyDescent="0.25">
      <c r="K251" s="80">
        <v>46093</v>
      </c>
      <c r="L251" s="78" t="s">
        <v>257</v>
      </c>
      <c r="M251" s="115"/>
      <c r="N251" s="81">
        <v>255000</v>
      </c>
      <c r="X251" s="3"/>
    </row>
    <row r="252" spans="11:24" ht="14.25" customHeight="1" x14ac:dyDescent="0.25">
      <c r="K252" s="80">
        <v>46093</v>
      </c>
      <c r="L252" s="78" t="s">
        <v>109</v>
      </c>
      <c r="M252" s="115"/>
      <c r="N252" s="81">
        <v>94205</v>
      </c>
      <c r="X252" s="3"/>
    </row>
    <row r="253" spans="11:24" ht="14.25" customHeight="1" x14ac:dyDescent="0.25">
      <c r="K253" s="80">
        <v>46094</v>
      </c>
      <c r="L253" s="78" t="s">
        <v>127</v>
      </c>
      <c r="M253" s="115"/>
      <c r="N253" s="81">
        <v>107100</v>
      </c>
      <c r="X253" s="3"/>
    </row>
    <row r="254" spans="11:24" ht="14.25" customHeight="1" x14ac:dyDescent="0.25">
      <c r="K254" s="80">
        <v>46094</v>
      </c>
      <c r="L254" s="78" t="s">
        <v>149</v>
      </c>
      <c r="M254" s="115"/>
      <c r="N254" s="81">
        <v>44000</v>
      </c>
      <c r="X254" s="3"/>
    </row>
    <row r="255" spans="11:24" ht="14.25" customHeight="1" x14ac:dyDescent="0.25">
      <c r="K255" s="80">
        <v>46094</v>
      </c>
      <c r="L255" s="78" t="s">
        <v>258</v>
      </c>
      <c r="M255" s="115"/>
      <c r="N255" s="81">
        <v>190000</v>
      </c>
      <c r="X255" s="3"/>
    </row>
    <row r="256" spans="11:24" ht="14.25" customHeight="1" x14ac:dyDescent="0.25">
      <c r="K256" s="118">
        <v>46094</v>
      </c>
      <c r="L256" s="78" t="s">
        <v>158</v>
      </c>
      <c r="M256" s="115"/>
      <c r="N256" s="81">
        <v>28000</v>
      </c>
      <c r="X256" s="3"/>
    </row>
    <row r="257" spans="11:24" ht="14.25" customHeight="1" x14ac:dyDescent="0.25">
      <c r="K257" s="80">
        <v>46094</v>
      </c>
      <c r="L257" s="78" t="s">
        <v>130</v>
      </c>
      <c r="M257" s="115" t="s">
        <v>48</v>
      </c>
      <c r="N257" s="81">
        <v>315805</v>
      </c>
      <c r="X257" s="3"/>
    </row>
    <row r="258" spans="11:24" ht="14.25" customHeight="1" x14ac:dyDescent="0.25">
      <c r="K258" s="80">
        <v>46094</v>
      </c>
      <c r="L258" s="78" t="s">
        <v>134</v>
      </c>
      <c r="M258" s="115"/>
      <c r="N258" s="81">
        <v>211000</v>
      </c>
      <c r="X258" s="3"/>
    </row>
    <row r="259" spans="11:24" ht="14.25" customHeight="1" x14ac:dyDescent="0.25">
      <c r="K259" s="80">
        <v>46097</v>
      </c>
      <c r="L259" s="78" t="s">
        <v>147</v>
      </c>
      <c r="M259" s="115"/>
      <c r="N259" s="81">
        <v>320000</v>
      </c>
      <c r="X259" s="3"/>
    </row>
    <row r="260" spans="11:24" ht="14.25" customHeight="1" x14ac:dyDescent="0.25">
      <c r="K260" s="80">
        <v>46097</v>
      </c>
      <c r="L260" s="78" t="s">
        <v>144</v>
      </c>
      <c r="M260" s="115"/>
      <c r="N260" s="81">
        <v>100000</v>
      </c>
      <c r="Q260" s="150"/>
      <c r="X260" s="3"/>
    </row>
    <row r="261" spans="11:24" ht="14.25" customHeight="1" x14ac:dyDescent="0.25">
      <c r="K261" s="80">
        <v>46099</v>
      </c>
      <c r="L261" s="78" t="s">
        <v>125</v>
      </c>
      <c r="M261" s="115"/>
      <c r="N261" s="81">
        <v>823000</v>
      </c>
      <c r="X261" s="3"/>
    </row>
    <row r="262" spans="11:24" ht="14.25" customHeight="1" x14ac:dyDescent="0.25">
      <c r="K262" s="80">
        <v>46099</v>
      </c>
      <c r="L262" s="78" t="s">
        <v>149</v>
      </c>
      <c r="M262" s="115"/>
      <c r="N262" s="81">
        <v>88000</v>
      </c>
      <c r="X262" s="3"/>
    </row>
    <row r="263" spans="11:24" ht="14.25" customHeight="1" x14ac:dyDescent="0.25">
      <c r="K263" s="80">
        <v>46099</v>
      </c>
      <c r="L263" s="78" t="s">
        <v>136</v>
      </c>
      <c r="M263" s="115"/>
      <c r="N263" s="81">
        <v>108000</v>
      </c>
      <c r="X263" s="3"/>
    </row>
    <row r="264" spans="11:24" ht="14.25" customHeight="1" x14ac:dyDescent="0.25">
      <c r="K264" s="80">
        <v>46099</v>
      </c>
      <c r="L264" s="78" t="s">
        <v>250</v>
      </c>
      <c r="M264" s="115" t="s">
        <v>48</v>
      </c>
      <c r="N264" s="81">
        <v>747500</v>
      </c>
      <c r="X264" s="3"/>
    </row>
    <row r="265" spans="11:24" ht="14.25" customHeight="1" x14ac:dyDescent="0.25">
      <c r="K265" s="80">
        <v>46099</v>
      </c>
      <c r="L265" s="78" t="s">
        <v>261</v>
      </c>
      <c r="M265" s="115"/>
      <c r="N265" s="81">
        <v>222015.86</v>
      </c>
      <c r="X265" s="3"/>
    </row>
    <row r="266" spans="11:24" ht="14.25" customHeight="1" x14ac:dyDescent="0.25">
      <c r="K266" s="80">
        <v>46099</v>
      </c>
      <c r="L266" s="78" t="s">
        <v>160</v>
      </c>
      <c r="M266" s="115"/>
      <c r="N266" s="81">
        <v>119000</v>
      </c>
      <c r="X266" s="3"/>
    </row>
    <row r="267" spans="11:24" ht="14.25" customHeight="1" x14ac:dyDescent="0.25">
      <c r="K267" s="80">
        <v>46100</v>
      </c>
      <c r="L267" s="78" t="s">
        <v>263</v>
      </c>
      <c r="M267" s="115" t="s">
        <v>48</v>
      </c>
      <c r="N267" s="81">
        <v>157113.74</v>
      </c>
      <c r="X267" s="3"/>
    </row>
    <row r="268" spans="11:24" ht="14.25" customHeight="1" x14ac:dyDescent="0.25">
      <c r="K268" s="80">
        <v>46120</v>
      </c>
      <c r="L268" s="78" t="s">
        <v>264</v>
      </c>
      <c r="M268" s="115" t="s">
        <v>48</v>
      </c>
      <c r="N268" s="81">
        <v>1680047.15</v>
      </c>
      <c r="X268" s="3"/>
    </row>
    <row r="269" spans="11:24" ht="14.25" customHeight="1" x14ac:dyDescent="0.25">
      <c r="K269" s="80">
        <v>46100</v>
      </c>
      <c r="L269" s="78" t="s">
        <v>265</v>
      </c>
      <c r="M269" s="115" t="s">
        <v>48</v>
      </c>
      <c r="N269" s="81">
        <v>201197</v>
      </c>
      <c r="X269" s="3"/>
    </row>
    <row r="270" spans="11:24" ht="14.25" customHeight="1" x14ac:dyDescent="0.25">
      <c r="K270" s="80">
        <v>46100</v>
      </c>
      <c r="L270" s="78" t="s">
        <v>254</v>
      </c>
      <c r="M270" s="115"/>
      <c r="N270" s="81">
        <v>172200</v>
      </c>
      <c r="R270" s="81"/>
      <c r="X270" s="3"/>
    </row>
    <row r="271" spans="11:24" ht="14.25" customHeight="1" x14ac:dyDescent="0.25">
      <c r="K271" s="80">
        <v>46100</v>
      </c>
      <c r="L271" s="78" t="s">
        <v>266</v>
      </c>
      <c r="M271" s="115"/>
      <c r="N271" s="81">
        <v>334162.89899999998</v>
      </c>
      <c r="X271" s="3"/>
    </row>
    <row r="272" spans="11:24" ht="14.25" customHeight="1" x14ac:dyDescent="0.25">
      <c r="K272" s="80">
        <v>46100</v>
      </c>
      <c r="L272" s="78" t="s">
        <v>133</v>
      </c>
      <c r="M272" s="115"/>
      <c r="N272" s="81">
        <v>740000</v>
      </c>
      <c r="X272" s="3"/>
    </row>
    <row r="273" spans="11:24" ht="14.25" customHeight="1" x14ac:dyDescent="0.25">
      <c r="K273" s="80">
        <v>46101</v>
      </c>
      <c r="L273" s="78" t="s">
        <v>146</v>
      </c>
      <c r="M273" s="115"/>
      <c r="N273" s="81">
        <v>356647.5</v>
      </c>
      <c r="X273" s="3"/>
    </row>
    <row r="274" spans="11:24" ht="14.25" customHeight="1" x14ac:dyDescent="0.25">
      <c r="K274" s="80">
        <v>46102</v>
      </c>
      <c r="L274" s="78" t="s">
        <v>261</v>
      </c>
      <c r="M274" s="115"/>
      <c r="N274" s="81">
        <v>222000</v>
      </c>
      <c r="X274" s="3"/>
    </row>
    <row r="275" spans="11:24" ht="14.25" customHeight="1" x14ac:dyDescent="0.25">
      <c r="K275" s="80">
        <v>46104</v>
      </c>
      <c r="L275" s="78" t="s">
        <v>268</v>
      </c>
      <c r="M275" s="115"/>
      <c r="N275" s="81">
        <v>164140</v>
      </c>
      <c r="X275" s="3"/>
    </row>
    <row r="276" spans="11:24" ht="14.25" customHeight="1" x14ac:dyDescent="0.25">
      <c r="K276" s="80">
        <v>46104</v>
      </c>
      <c r="L276" s="78" t="s">
        <v>263</v>
      </c>
      <c r="M276" s="115"/>
      <c r="N276" s="81">
        <v>240000</v>
      </c>
      <c r="X276" s="3"/>
    </row>
    <row r="277" spans="11:24" ht="14.25" customHeight="1" x14ac:dyDescent="0.25">
      <c r="K277" s="80">
        <v>46106</v>
      </c>
      <c r="L277" s="78" t="s">
        <v>177</v>
      </c>
      <c r="M277" s="115"/>
      <c r="N277" s="81">
        <v>1128535.54</v>
      </c>
      <c r="X277" s="3"/>
    </row>
    <row r="278" spans="11:24" ht="14.25" customHeight="1" x14ac:dyDescent="0.25">
      <c r="K278" s="80">
        <v>46106</v>
      </c>
      <c r="L278" s="78" t="s">
        <v>249</v>
      </c>
      <c r="M278" s="115"/>
      <c r="N278" s="81">
        <v>672000</v>
      </c>
      <c r="X278" s="3"/>
    </row>
    <row r="279" spans="11:24" ht="14.25" customHeight="1" x14ac:dyDescent="0.25">
      <c r="K279" s="80">
        <v>46106</v>
      </c>
      <c r="L279" s="78" t="s">
        <v>182</v>
      </c>
      <c r="M279" s="115"/>
      <c r="N279" s="81">
        <v>279000</v>
      </c>
      <c r="X279" s="3"/>
    </row>
    <row r="280" spans="11:24" ht="14.25" customHeight="1" x14ac:dyDescent="0.25">
      <c r="K280" s="80">
        <v>46106</v>
      </c>
      <c r="L280" s="78" t="s">
        <v>172</v>
      </c>
      <c r="M280" s="115" t="s">
        <v>48</v>
      </c>
      <c r="N280" s="81">
        <v>257883.93</v>
      </c>
      <c r="X280" s="3"/>
    </row>
    <row r="281" spans="11:24" ht="14.25" customHeight="1" x14ac:dyDescent="0.25">
      <c r="K281" s="80">
        <v>46107</v>
      </c>
      <c r="L281" s="78" t="s">
        <v>263</v>
      </c>
      <c r="M281" s="115" t="s">
        <v>48</v>
      </c>
      <c r="N281" s="81">
        <v>128749.42</v>
      </c>
      <c r="X281" s="3"/>
    </row>
    <row r="282" spans="11:24" ht="14.25" customHeight="1" x14ac:dyDescent="0.25">
      <c r="K282" s="80">
        <v>46107</v>
      </c>
      <c r="L282" s="78" t="s">
        <v>143</v>
      </c>
      <c r="M282" s="115"/>
      <c r="N282" s="81">
        <v>220500</v>
      </c>
      <c r="X282" s="3"/>
    </row>
    <row r="283" spans="11:24" ht="14.25" customHeight="1" x14ac:dyDescent="0.25">
      <c r="K283" s="80">
        <v>46107</v>
      </c>
      <c r="L283" s="78" t="s">
        <v>116</v>
      </c>
      <c r="M283" s="115"/>
      <c r="N283" s="81">
        <v>189365</v>
      </c>
      <c r="X283" s="3"/>
    </row>
    <row r="284" spans="11:24" ht="14.25" customHeight="1" x14ac:dyDescent="0.25">
      <c r="K284" s="80">
        <v>46107</v>
      </c>
      <c r="L284" s="78" t="s">
        <v>133</v>
      </c>
      <c r="M284" s="115"/>
      <c r="N284" s="81">
        <v>150000</v>
      </c>
      <c r="X284" s="3"/>
    </row>
    <row r="285" spans="11:24" ht="14.25" customHeight="1" x14ac:dyDescent="0.25">
      <c r="K285" s="80">
        <v>46107</v>
      </c>
      <c r="L285" s="78" t="s">
        <v>133</v>
      </c>
      <c r="M285" s="115"/>
      <c r="N285" s="81">
        <v>500000</v>
      </c>
      <c r="X285" s="3"/>
    </row>
    <row r="286" spans="11:24" ht="14.25" customHeight="1" x14ac:dyDescent="0.25">
      <c r="K286" s="80">
        <v>46107</v>
      </c>
      <c r="L286" s="78" t="s">
        <v>165</v>
      </c>
      <c r="M286" s="115"/>
      <c r="N286" s="81">
        <v>494160</v>
      </c>
      <c r="X286" s="3"/>
    </row>
    <row r="287" spans="11:24" ht="14.25" customHeight="1" x14ac:dyDescent="0.25">
      <c r="K287" s="80">
        <v>46107</v>
      </c>
      <c r="L287" s="78" t="s">
        <v>271</v>
      </c>
      <c r="M287" s="115"/>
      <c r="N287" s="81">
        <v>295000</v>
      </c>
      <c r="X287" s="3"/>
    </row>
    <row r="288" spans="11:24" ht="14.25" customHeight="1" x14ac:dyDescent="0.25">
      <c r="K288" s="80">
        <v>46107</v>
      </c>
      <c r="L288" s="78" t="s">
        <v>272</v>
      </c>
      <c r="M288" s="115"/>
      <c r="N288" s="81">
        <v>368884</v>
      </c>
      <c r="X288" s="3"/>
    </row>
    <row r="289" spans="11:24" ht="14.25" customHeight="1" x14ac:dyDescent="0.25">
      <c r="K289" s="80">
        <v>46107</v>
      </c>
      <c r="L289" s="78" t="s">
        <v>144</v>
      </c>
      <c r="M289" s="115"/>
      <c r="N289" s="81">
        <v>80000</v>
      </c>
      <c r="X289" s="3"/>
    </row>
    <row r="290" spans="11:24" ht="14.25" customHeight="1" x14ac:dyDescent="0.25">
      <c r="K290" s="80">
        <v>46107</v>
      </c>
      <c r="L290" s="78" t="s">
        <v>125</v>
      </c>
      <c r="M290" s="115"/>
      <c r="N290" s="81">
        <v>500000</v>
      </c>
      <c r="X290" s="3"/>
    </row>
    <row r="291" spans="11:24" ht="14.25" customHeight="1" x14ac:dyDescent="0.25">
      <c r="K291" s="80">
        <v>46108</v>
      </c>
      <c r="L291" s="78" t="s">
        <v>214</v>
      </c>
      <c r="M291" s="115"/>
      <c r="N291" s="81">
        <v>90000</v>
      </c>
      <c r="X291" s="3"/>
    </row>
    <row r="292" spans="11:24" ht="14.25" customHeight="1" x14ac:dyDescent="0.25">
      <c r="K292" s="80">
        <v>46108</v>
      </c>
      <c r="L292" s="78" t="s">
        <v>94</v>
      </c>
      <c r="M292" s="115"/>
      <c r="N292" s="81">
        <v>193572.8</v>
      </c>
      <c r="X292" s="3"/>
    </row>
    <row r="293" spans="11:24" ht="14.25" customHeight="1" x14ac:dyDescent="0.25">
      <c r="K293" s="80">
        <v>46108</v>
      </c>
      <c r="L293" s="78" t="s">
        <v>222</v>
      </c>
      <c r="M293" s="115"/>
      <c r="N293" s="81">
        <v>398985</v>
      </c>
      <c r="X293" s="3"/>
    </row>
    <row r="294" spans="11:24" ht="14.25" customHeight="1" x14ac:dyDescent="0.25">
      <c r="K294" s="80">
        <v>46108</v>
      </c>
      <c r="L294" s="78" t="s">
        <v>163</v>
      </c>
      <c r="M294" s="115"/>
      <c r="N294" s="81">
        <v>397000</v>
      </c>
      <c r="X294" s="3"/>
    </row>
    <row r="295" spans="11:24" ht="14.25" customHeight="1" x14ac:dyDescent="0.25">
      <c r="K295" s="80">
        <v>46108</v>
      </c>
      <c r="L295" s="78" t="s">
        <v>133</v>
      </c>
      <c r="M295" s="115"/>
      <c r="N295" s="81">
        <v>67400</v>
      </c>
      <c r="X295" s="3"/>
    </row>
    <row r="296" spans="11:24" ht="14.25" customHeight="1" x14ac:dyDescent="0.25">
      <c r="K296" s="80">
        <v>46108</v>
      </c>
      <c r="L296" s="78" t="s">
        <v>273</v>
      </c>
      <c r="M296" s="115"/>
      <c r="N296" s="81">
        <v>455221.16</v>
      </c>
      <c r="X296" s="3"/>
    </row>
    <row r="297" spans="11:24" ht="14.25" customHeight="1" x14ac:dyDescent="0.25">
      <c r="K297" s="80">
        <v>46108</v>
      </c>
      <c r="L297" s="78" t="s">
        <v>134</v>
      </c>
      <c r="M297" s="115"/>
      <c r="N297" s="81">
        <v>191500</v>
      </c>
      <c r="X297" s="3"/>
    </row>
    <row r="298" spans="11:24" ht="14.25" customHeight="1" x14ac:dyDescent="0.25">
      <c r="K298" s="80">
        <v>46108</v>
      </c>
      <c r="L298" s="78" t="s">
        <v>261</v>
      </c>
      <c r="M298" s="115"/>
      <c r="N298" s="81">
        <v>292304.14</v>
      </c>
      <c r="X298" s="3"/>
    </row>
    <row r="299" spans="11:24" ht="14.25" customHeight="1" x14ac:dyDescent="0.25">
      <c r="K299" s="80">
        <v>46108</v>
      </c>
      <c r="L299" s="78" t="s">
        <v>125</v>
      </c>
      <c r="M299" s="115"/>
      <c r="N299" s="81">
        <v>289760</v>
      </c>
      <c r="X299" s="3"/>
    </row>
    <row r="300" spans="11:24" ht="14.25" customHeight="1" x14ac:dyDescent="0.25">
      <c r="K300" s="80">
        <v>46111</v>
      </c>
      <c r="L300" s="78" t="s">
        <v>275</v>
      </c>
      <c r="M300" s="115"/>
      <c r="N300" s="81">
        <v>44000</v>
      </c>
      <c r="X300" s="3"/>
    </row>
    <row r="301" spans="11:24" ht="14.25" customHeight="1" x14ac:dyDescent="0.25">
      <c r="K301" s="80">
        <v>46111</v>
      </c>
      <c r="L301" s="78" t="s">
        <v>149</v>
      </c>
      <c r="M301" s="115"/>
      <c r="N301" s="81">
        <v>22000</v>
      </c>
      <c r="X301" s="3"/>
    </row>
    <row r="302" spans="11:24" ht="14.25" customHeight="1" x14ac:dyDescent="0.25">
      <c r="K302" s="80">
        <v>46112</v>
      </c>
      <c r="L302" s="78" t="s">
        <v>125</v>
      </c>
      <c r="M302" s="115"/>
      <c r="N302" s="81">
        <v>660000</v>
      </c>
      <c r="X302" s="3"/>
    </row>
    <row r="303" spans="11:24" ht="14.25" customHeight="1" x14ac:dyDescent="0.25">
      <c r="K303" s="80">
        <v>46112</v>
      </c>
      <c r="L303" s="78" t="s">
        <v>144</v>
      </c>
      <c r="M303" s="115"/>
      <c r="N303" s="81">
        <v>60000</v>
      </c>
      <c r="X303" s="3"/>
    </row>
    <row r="304" spans="11:24" ht="14.25" customHeight="1" x14ac:dyDescent="0.25">
      <c r="K304" s="80">
        <v>46113</v>
      </c>
      <c r="L304" s="78" t="s">
        <v>280</v>
      </c>
      <c r="M304" s="115"/>
      <c r="N304" s="81">
        <v>252000</v>
      </c>
      <c r="X304" s="3"/>
    </row>
    <row r="305" spans="11:24" ht="14.25" customHeight="1" x14ac:dyDescent="0.25">
      <c r="K305" s="80">
        <v>46113</v>
      </c>
      <c r="L305" s="78" t="s">
        <v>147</v>
      </c>
      <c r="M305" s="115"/>
      <c r="N305" s="81">
        <v>1339600</v>
      </c>
      <c r="X305" s="3"/>
    </row>
    <row r="306" spans="11:24" ht="14.25" customHeight="1" x14ac:dyDescent="0.25">
      <c r="K306" s="80">
        <v>46113</v>
      </c>
      <c r="L306" s="78" t="s">
        <v>180</v>
      </c>
      <c r="M306" s="115"/>
      <c r="N306" s="81">
        <v>400000</v>
      </c>
      <c r="X306" s="3"/>
    </row>
    <row r="307" spans="11:24" ht="14.25" customHeight="1" x14ac:dyDescent="0.25">
      <c r="K307" s="80">
        <v>46113</v>
      </c>
      <c r="L307" s="78" t="s">
        <v>180</v>
      </c>
      <c r="M307" s="115"/>
      <c r="N307" s="81">
        <v>139044</v>
      </c>
      <c r="X307" s="3"/>
    </row>
    <row r="308" spans="11:24" ht="14.25" customHeight="1" x14ac:dyDescent="0.25">
      <c r="K308" s="80">
        <v>46113</v>
      </c>
      <c r="L308" s="78" t="s">
        <v>225</v>
      </c>
      <c r="M308" s="115"/>
      <c r="N308" s="81">
        <v>104000</v>
      </c>
      <c r="X308" s="3"/>
    </row>
    <row r="309" spans="11:24" ht="14.25" customHeight="1" x14ac:dyDescent="0.25">
      <c r="K309" s="80">
        <v>46113</v>
      </c>
      <c r="L309" s="78" t="s">
        <v>125</v>
      </c>
      <c r="M309" s="115"/>
      <c r="N309" s="81">
        <v>215872</v>
      </c>
      <c r="X309" s="3"/>
    </row>
    <row r="310" spans="11:24" ht="14.25" customHeight="1" x14ac:dyDescent="0.25">
      <c r="K310" s="80">
        <v>46113</v>
      </c>
      <c r="L310" s="78" t="s">
        <v>273</v>
      </c>
      <c r="M310" s="115"/>
      <c r="N310" s="81">
        <v>244779</v>
      </c>
      <c r="X310" s="3"/>
    </row>
    <row r="311" spans="11:24" ht="14.25" customHeight="1" x14ac:dyDescent="0.25">
      <c r="K311" s="80">
        <v>46115</v>
      </c>
      <c r="L311" s="78" t="s">
        <v>281</v>
      </c>
      <c r="M311" s="115"/>
      <c r="N311" s="81">
        <v>400000</v>
      </c>
      <c r="X311" s="3"/>
    </row>
    <row r="312" spans="11:24" ht="14.25" customHeight="1" x14ac:dyDescent="0.25">
      <c r="K312" s="80">
        <v>46122</v>
      </c>
      <c r="L312" s="78" t="s">
        <v>281</v>
      </c>
      <c r="M312" s="115"/>
      <c r="N312" s="81">
        <v>400000</v>
      </c>
      <c r="X312" s="3"/>
    </row>
    <row r="313" spans="11:24" ht="14.25" customHeight="1" x14ac:dyDescent="0.25">
      <c r="K313" s="80">
        <v>46127</v>
      </c>
      <c r="L313" s="78" t="s">
        <v>281</v>
      </c>
      <c r="M313" s="115"/>
      <c r="N313" s="81">
        <v>400000</v>
      </c>
      <c r="X313" s="3"/>
    </row>
    <row r="314" spans="11:24" ht="14.25" customHeight="1" x14ac:dyDescent="0.25">
      <c r="K314" s="80">
        <v>46132</v>
      </c>
      <c r="L314" s="78" t="s">
        <v>281</v>
      </c>
      <c r="M314" s="115"/>
      <c r="N314" s="81">
        <v>845478.61</v>
      </c>
      <c r="X314" s="3"/>
    </row>
    <row r="315" spans="11:24" ht="14.25" customHeight="1" x14ac:dyDescent="0.25">
      <c r="K315" s="80">
        <v>46119</v>
      </c>
      <c r="L315" s="78" t="s">
        <v>172</v>
      </c>
      <c r="M315" s="115"/>
      <c r="N315" s="81">
        <v>360569.22</v>
      </c>
      <c r="X315" s="3"/>
    </row>
    <row r="316" spans="11:24" ht="14.25" customHeight="1" x14ac:dyDescent="0.25">
      <c r="K316" s="80">
        <v>46119</v>
      </c>
      <c r="L316" s="78" t="s">
        <v>149</v>
      </c>
      <c r="M316" s="115"/>
      <c r="N316" s="81">
        <v>66000</v>
      </c>
      <c r="X316" s="3"/>
    </row>
    <row r="317" spans="11:24" ht="14.25" customHeight="1" x14ac:dyDescent="0.25">
      <c r="K317" s="80">
        <v>46119</v>
      </c>
      <c r="L317" s="78" t="s">
        <v>220</v>
      </c>
      <c r="M317" s="115"/>
      <c r="N317" s="81">
        <v>266253.34999999998</v>
      </c>
      <c r="X317" s="3"/>
    </row>
    <row r="318" spans="11:24" ht="14.25" customHeight="1" x14ac:dyDescent="0.25">
      <c r="K318" s="80">
        <v>46120</v>
      </c>
      <c r="L318" s="78" t="s">
        <v>146</v>
      </c>
      <c r="M318" s="115"/>
      <c r="N318" s="81">
        <v>425000</v>
      </c>
      <c r="X318" s="3"/>
    </row>
    <row r="319" spans="11:24" ht="14.25" customHeight="1" x14ac:dyDescent="0.25">
      <c r="K319" s="80">
        <v>46120</v>
      </c>
      <c r="L319" s="78" t="s">
        <v>125</v>
      </c>
      <c r="M319" s="115"/>
      <c r="N319" s="81">
        <v>400000</v>
      </c>
      <c r="X319" s="3"/>
    </row>
    <row r="320" spans="11:24" ht="14.25" customHeight="1" x14ac:dyDescent="0.25">
      <c r="K320" s="80">
        <v>46120</v>
      </c>
      <c r="L320" s="78" t="s">
        <v>252</v>
      </c>
      <c r="M320" s="115"/>
      <c r="N320" s="81">
        <v>550680</v>
      </c>
      <c r="X320" s="3"/>
    </row>
    <row r="321" spans="11:24" ht="14.25" customHeight="1" x14ac:dyDescent="0.25">
      <c r="K321" s="80">
        <v>46120</v>
      </c>
      <c r="L321" s="78" t="s">
        <v>127</v>
      </c>
      <c r="M321" s="115"/>
      <c r="N321" s="81">
        <v>131300</v>
      </c>
      <c r="X321" s="3"/>
    </row>
    <row r="322" spans="11:24" ht="14.25" customHeight="1" x14ac:dyDescent="0.25">
      <c r="K322" s="80">
        <v>46120</v>
      </c>
      <c r="L322" s="78" t="s">
        <v>130</v>
      </c>
      <c r="M322" s="115"/>
      <c r="N322" s="81">
        <v>1680047.15</v>
      </c>
      <c r="X322" s="3"/>
    </row>
    <row r="323" spans="11:24" ht="14.25" customHeight="1" x14ac:dyDescent="0.25">
      <c r="K323" s="80">
        <v>46122</v>
      </c>
      <c r="L323" s="78" t="s">
        <v>125</v>
      </c>
      <c r="M323" s="115"/>
      <c r="N323" s="81">
        <v>200000</v>
      </c>
      <c r="X323" s="3"/>
    </row>
    <row r="324" spans="11:24" ht="14.25" customHeight="1" x14ac:dyDescent="0.25">
      <c r="K324" s="80">
        <v>46126</v>
      </c>
      <c r="L324" s="78" t="s">
        <v>144</v>
      </c>
      <c r="M324" s="115"/>
      <c r="N324" s="81">
        <v>48000</v>
      </c>
      <c r="X324" s="3"/>
    </row>
    <row r="325" spans="11:24" ht="14.25" customHeight="1" x14ac:dyDescent="0.25">
      <c r="K325" s="80">
        <v>46126</v>
      </c>
      <c r="L325" s="78" t="s">
        <v>145</v>
      </c>
      <c r="M325" s="115"/>
      <c r="N325" s="81">
        <v>137347</v>
      </c>
      <c r="X325" s="3"/>
    </row>
    <row r="326" spans="11:24" ht="14.25" customHeight="1" x14ac:dyDescent="0.25">
      <c r="K326" s="80">
        <v>46126</v>
      </c>
      <c r="L326" s="78" t="s">
        <v>109</v>
      </c>
      <c r="M326" s="115"/>
      <c r="N326" s="81">
        <v>70727.070000000007</v>
      </c>
      <c r="X326" s="3"/>
    </row>
    <row r="327" spans="11:24" ht="14.25" customHeight="1" x14ac:dyDescent="0.25">
      <c r="K327" s="80">
        <v>46122</v>
      </c>
      <c r="L327" s="78" t="s">
        <v>133</v>
      </c>
      <c r="M327" s="115"/>
      <c r="N327" s="81">
        <v>211500</v>
      </c>
      <c r="X327" s="3"/>
    </row>
    <row r="328" spans="11:24" ht="14.25" customHeight="1" x14ac:dyDescent="0.25">
      <c r="K328" s="80">
        <v>46122</v>
      </c>
      <c r="L328" s="78" t="s">
        <v>165</v>
      </c>
      <c r="M328" s="115"/>
      <c r="N328" s="81">
        <v>273400</v>
      </c>
      <c r="X328" s="3"/>
    </row>
    <row r="329" spans="11:24" ht="14.25" customHeight="1" x14ac:dyDescent="0.25">
      <c r="K329" s="80">
        <v>46122</v>
      </c>
      <c r="L329" s="78" t="s">
        <v>116</v>
      </c>
      <c r="M329" s="115"/>
      <c r="N329" s="81">
        <v>93000</v>
      </c>
      <c r="X329" s="3"/>
    </row>
    <row r="330" spans="11:24" ht="14.25" customHeight="1" x14ac:dyDescent="0.25">
      <c r="K330" s="80">
        <v>46121</v>
      </c>
      <c r="L330" s="78" t="s">
        <v>220</v>
      </c>
      <c r="M330" s="115"/>
      <c r="N330" s="81">
        <v>440850</v>
      </c>
      <c r="X330" s="3"/>
    </row>
    <row r="331" spans="11:24" ht="14.25" customHeight="1" x14ac:dyDescent="0.25">
      <c r="K331" s="80">
        <v>46126</v>
      </c>
      <c r="L331" s="78" t="s">
        <v>220</v>
      </c>
      <c r="M331" s="115"/>
      <c r="N331" s="81">
        <v>75811.340000000026</v>
      </c>
      <c r="X331" s="3"/>
    </row>
    <row r="332" spans="11:24" ht="14.25" customHeight="1" x14ac:dyDescent="0.25">
      <c r="K332" s="80">
        <v>46126</v>
      </c>
      <c r="L332" s="78" t="s">
        <v>273</v>
      </c>
      <c r="M332" s="115"/>
      <c r="N332" s="81">
        <v>300000</v>
      </c>
      <c r="X332" s="3"/>
    </row>
    <row r="333" spans="11:24" ht="14.25" customHeight="1" x14ac:dyDescent="0.25">
      <c r="K333" s="80">
        <v>46128</v>
      </c>
      <c r="L333" s="78" t="s">
        <v>165</v>
      </c>
      <c r="M333" s="115"/>
      <c r="N333" s="81">
        <v>91500</v>
      </c>
      <c r="X333" s="3"/>
    </row>
    <row r="334" spans="11:24" ht="14.25" customHeight="1" x14ac:dyDescent="0.25">
      <c r="K334" s="80">
        <v>46127</v>
      </c>
      <c r="L334" s="78" t="s">
        <v>177</v>
      </c>
      <c r="M334" s="115"/>
      <c r="N334" s="81">
        <v>1020504.32</v>
      </c>
      <c r="X334" s="3"/>
    </row>
    <row r="335" spans="11:24" ht="14.25" customHeight="1" x14ac:dyDescent="0.25">
      <c r="K335" s="80">
        <v>46127</v>
      </c>
      <c r="L335" s="78" t="s">
        <v>149</v>
      </c>
      <c r="M335" s="115"/>
      <c r="N335" s="81">
        <v>66000</v>
      </c>
      <c r="X335" s="3"/>
    </row>
    <row r="336" spans="11:24" ht="14.25" customHeight="1" x14ac:dyDescent="0.25">
      <c r="K336" s="80">
        <v>46127</v>
      </c>
      <c r="L336" s="78" t="s">
        <v>195</v>
      </c>
      <c r="M336" s="115"/>
      <c r="N336" s="81">
        <v>128300</v>
      </c>
      <c r="X336" s="3"/>
    </row>
    <row r="337" spans="11:24" ht="14.25" customHeight="1" x14ac:dyDescent="0.25">
      <c r="K337" s="80">
        <v>46127</v>
      </c>
      <c r="L337" s="78" t="s">
        <v>136</v>
      </c>
      <c r="M337" s="115"/>
      <c r="N337" s="81">
        <v>33500</v>
      </c>
      <c r="X337" s="3"/>
    </row>
    <row r="338" spans="11:24" ht="14.25" customHeight="1" x14ac:dyDescent="0.25">
      <c r="K338" s="80">
        <v>46128</v>
      </c>
      <c r="L338" s="78" t="s">
        <v>287</v>
      </c>
      <c r="M338" s="115"/>
      <c r="N338" s="81">
        <v>277816.12</v>
      </c>
      <c r="X338" s="3"/>
    </row>
    <row r="339" spans="11:24" ht="14.25" customHeight="1" x14ac:dyDescent="0.25">
      <c r="K339" s="80">
        <v>46128</v>
      </c>
      <c r="L339" s="78" t="s">
        <v>214</v>
      </c>
      <c r="M339" s="115"/>
      <c r="N339" s="81">
        <v>298000</v>
      </c>
      <c r="X339" s="3"/>
    </row>
    <row r="340" spans="11:24" ht="14.25" customHeight="1" x14ac:dyDescent="0.25">
      <c r="K340" s="80">
        <v>46128</v>
      </c>
      <c r="L340" s="78" t="s">
        <v>165</v>
      </c>
      <c r="M340" s="115"/>
      <c r="N340" s="81">
        <v>47500</v>
      </c>
      <c r="X340" s="3"/>
    </row>
    <row r="341" spans="11:24" ht="14.25" customHeight="1" x14ac:dyDescent="0.25">
      <c r="K341" s="80">
        <v>46128</v>
      </c>
      <c r="L341" s="78" t="s">
        <v>189</v>
      </c>
      <c r="M341" s="115"/>
      <c r="N341" s="81">
        <v>80440.800000000003</v>
      </c>
      <c r="X341" s="3"/>
    </row>
    <row r="342" spans="11:24" ht="14.25" customHeight="1" x14ac:dyDescent="0.25">
      <c r="K342" s="80">
        <v>46129</v>
      </c>
      <c r="L342" s="78" t="s">
        <v>130</v>
      </c>
      <c r="M342" s="115"/>
      <c r="N342" s="81">
        <v>264394.68</v>
      </c>
      <c r="X342" s="3"/>
    </row>
    <row r="343" spans="11:24" ht="14.25" customHeight="1" x14ac:dyDescent="0.25">
      <c r="K343" s="80">
        <v>46129</v>
      </c>
      <c r="L343" s="78" t="s">
        <v>146</v>
      </c>
      <c r="M343" s="115"/>
      <c r="N343" s="81">
        <v>441045</v>
      </c>
      <c r="X343" s="3"/>
    </row>
    <row r="344" spans="11:24" ht="14.25" customHeight="1" x14ac:dyDescent="0.25">
      <c r="K344" s="80">
        <v>46129</v>
      </c>
      <c r="L344" s="78" t="s">
        <v>281</v>
      </c>
      <c r="M344" s="115"/>
      <c r="N344" s="81">
        <v>612801.4</v>
      </c>
      <c r="X344" s="3"/>
    </row>
    <row r="345" spans="11:24" ht="14.25" customHeight="1" x14ac:dyDescent="0.25">
      <c r="K345" s="80">
        <v>46136</v>
      </c>
      <c r="L345" s="78" t="s">
        <v>288</v>
      </c>
      <c r="M345" s="115"/>
      <c r="N345" s="81">
        <v>389726.18</v>
      </c>
      <c r="X345" s="3"/>
    </row>
    <row r="346" spans="11:24" ht="14.25" customHeight="1" x14ac:dyDescent="0.25">
      <c r="K346" s="80">
        <v>46140</v>
      </c>
      <c r="L346" s="78" t="s">
        <v>288</v>
      </c>
      <c r="M346" s="115"/>
      <c r="N346" s="81">
        <v>200000</v>
      </c>
      <c r="X346" s="3"/>
    </row>
    <row r="347" spans="11:24" ht="14.25" customHeight="1" x14ac:dyDescent="0.25">
      <c r="K347" s="80">
        <v>46155</v>
      </c>
      <c r="L347" s="78" t="s">
        <v>155</v>
      </c>
      <c r="M347" s="115"/>
      <c r="N347" s="81">
        <v>564841.93000000005</v>
      </c>
      <c r="X347" s="3"/>
    </row>
    <row r="348" spans="11:24" ht="14.25" customHeight="1" x14ac:dyDescent="0.25">
      <c r="K348" s="80">
        <v>46129</v>
      </c>
      <c r="L348" s="78" t="s">
        <v>125</v>
      </c>
      <c r="M348" s="115"/>
      <c r="N348" s="81">
        <v>200000</v>
      </c>
      <c r="X348" s="3"/>
    </row>
    <row r="349" spans="11:24" ht="14.25" customHeight="1" x14ac:dyDescent="0.25">
      <c r="K349" s="80">
        <v>46130</v>
      </c>
      <c r="L349" s="78" t="s">
        <v>125</v>
      </c>
      <c r="M349" s="115"/>
      <c r="N349" s="81">
        <v>161059</v>
      </c>
      <c r="X349" s="3"/>
    </row>
    <row r="350" spans="11:24" ht="14.25" customHeight="1" x14ac:dyDescent="0.25">
      <c r="K350" s="80">
        <v>46130</v>
      </c>
      <c r="L350" s="78" t="s">
        <v>125</v>
      </c>
      <c r="M350" s="115"/>
      <c r="N350" s="81">
        <v>80000</v>
      </c>
      <c r="X350" s="3"/>
    </row>
    <row r="351" spans="11:24" ht="14.25" customHeight="1" x14ac:dyDescent="0.25">
      <c r="K351" s="80">
        <v>46146</v>
      </c>
      <c r="L351" s="78" t="s">
        <v>281</v>
      </c>
      <c r="M351" s="115"/>
      <c r="N351" s="81">
        <v>1513329.65</v>
      </c>
      <c r="X351" s="3"/>
    </row>
    <row r="352" spans="11:24" ht="14.25" customHeight="1" x14ac:dyDescent="0.25">
      <c r="K352" s="80">
        <v>46128</v>
      </c>
      <c r="L352" s="78" t="s">
        <v>133</v>
      </c>
      <c r="M352" s="115"/>
      <c r="N352" s="81">
        <v>220000</v>
      </c>
      <c r="X352" s="3"/>
    </row>
    <row r="353" spans="11:24" ht="14.25" customHeight="1" x14ac:dyDescent="0.25">
      <c r="K353" s="80">
        <v>46128</v>
      </c>
      <c r="L353" s="78" t="s">
        <v>272</v>
      </c>
      <c r="M353" s="115"/>
      <c r="N353" s="81">
        <v>480000</v>
      </c>
      <c r="X353" s="3"/>
    </row>
    <row r="354" spans="11:24" ht="14.25" customHeight="1" x14ac:dyDescent="0.25">
      <c r="K354" s="80">
        <v>46132</v>
      </c>
      <c r="L354" s="78" t="s">
        <v>130</v>
      </c>
      <c r="M354" s="115"/>
      <c r="N354" s="81">
        <v>103941.42</v>
      </c>
      <c r="X354" s="3"/>
    </row>
    <row r="355" spans="11:24" ht="14.25" customHeight="1" x14ac:dyDescent="0.25">
      <c r="K355" s="80">
        <v>46133</v>
      </c>
      <c r="L355" s="78" t="s">
        <v>263</v>
      </c>
      <c r="M355" s="115"/>
      <c r="N355" s="81">
        <v>146317.76000000001</v>
      </c>
      <c r="X355" s="3"/>
    </row>
    <row r="356" spans="11:24" ht="14.25" customHeight="1" x14ac:dyDescent="0.25">
      <c r="K356" s="80">
        <v>46133</v>
      </c>
      <c r="L356" s="78" t="s">
        <v>145</v>
      </c>
      <c r="M356" s="115"/>
      <c r="N356" s="81">
        <v>162431.99999999997</v>
      </c>
      <c r="X356" s="3"/>
    </row>
    <row r="357" spans="11:24" ht="14.25" customHeight="1" x14ac:dyDescent="0.25">
      <c r="K357" s="80">
        <v>46133</v>
      </c>
      <c r="L357" s="78" t="s">
        <v>149</v>
      </c>
      <c r="M357" s="115"/>
      <c r="N357" s="81">
        <v>44000</v>
      </c>
      <c r="X357" s="3"/>
    </row>
    <row r="358" spans="11:24" ht="14.25" customHeight="1" x14ac:dyDescent="0.25">
      <c r="K358" s="80">
        <v>46133</v>
      </c>
      <c r="L358" s="78" t="s">
        <v>195</v>
      </c>
      <c r="M358" s="115"/>
      <c r="N358" s="81">
        <v>75600</v>
      </c>
      <c r="X358" s="3"/>
    </row>
    <row r="359" spans="11:24" ht="14.25" customHeight="1" x14ac:dyDescent="0.25">
      <c r="K359" s="80">
        <v>46133</v>
      </c>
      <c r="L359" s="78" t="s">
        <v>182</v>
      </c>
      <c r="M359" s="115"/>
      <c r="N359" s="81">
        <v>253200</v>
      </c>
      <c r="X359" s="3"/>
    </row>
    <row r="360" spans="11:24" ht="14.25" customHeight="1" x14ac:dyDescent="0.25">
      <c r="K360" s="80">
        <v>46133</v>
      </c>
      <c r="L360" s="78" t="s">
        <v>134</v>
      </c>
      <c r="M360" s="115"/>
      <c r="N360" s="81">
        <v>239000</v>
      </c>
      <c r="X360" s="3"/>
    </row>
    <row r="361" spans="11:24" ht="14.25" customHeight="1" x14ac:dyDescent="0.25">
      <c r="K361" s="80">
        <v>46133</v>
      </c>
      <c r="L361" s="78" t="s">
        <v>146</v>
      </c>
      <c r="M361" s="115"/>
      <c r="N361" s="81">
        <v>394762.5</v>
      </c>
      <c r="X361" s="3"/>
    </row>
    <row r="362" spans="11:24" ht="14.25" customHeight="1" x14ac:dyDescent="0.25">
      <c r="K362" s="80">
        <v>46134</v>
      </c>
      <c r="L362" s="78" t="s">
        <v>147</v>
      </c>
      <c r="M362" s="115"/>
      <c r="N362" s="81">
        <v>250000</v>
      </c>
      <c r="X362" s="3"/>
    </row>
    <row r="363" spans="11:24" ht="14.25" customHeight="1" x14ac:dyDescent="0.25">
      <c r="K363" s="80">
        <v>46134</v>
      </c>
      <c r="L363" s="78" t="s">
        <v>94</v>
      </c>
      <c r="M363" s="115"/>
      <c r="N363" s="81">
        <v>328467</v>
      </c>
      <c r="X363" s="3"/>
    </row>
    <row r="364" spans="11:24" ht="14.25" customHeight="1" x14ac:dyDescent="0.25">
      <c r="K364" s="80">
        <v>46134</v>
      </c>
      <c r="L364" s="78" t="s">
        <v>163</v>
      </c>
      <c r="M364" s="115"/>
      <c r="N364" s="81">
        <v>517400</v>
      </c>
      <c r="X364" s="3"/>
    </row>
    <row r="365" spans="11:24" ht="14.25" customHeight="1" x14ac:dyDescent="0.25">
      <c r="K365" s="80">
        <v>46134</v>
      </c>
      <c r="L365" s="78" t="s">
        <v>214</v>
      </c>
      <c r="M365" s="115"/>
      <c r="N365" s="81">
        <v>52000</v>
      </c>
      <c r="X365" s="3"/>
    </row>
    <row r="366" spans="11:24" ht="14.25" customHeight="1" x14ac:dyDescent="0.25">
      <c r="K366" s="80">
        <v>46134</v>
      </c>
      <c r="L366" s="78" t="s">
        <v>133</v>
      </c>
      <c r="M366" s="115"/>
      <c r="N366" s="81">
        <v>600000</v>
      </c>
      <c r="X366" s="3"/>
    </row>
    <row r="367" spans="11:24" ht="14.25" customHeight="1" x14ac:dyDescent="0.25">
      <c r="K367" s="80">
        <v>46134</v>
      </c>
      <c r="L367" s="78" t="s">
        <v>125</v>
      </c>
      <c r="M367" s="115"/>
      <c r="N367" s="81">
        <v>676831</v>
      </c>
      <c r="X367" s="3"/>
    </row>
    <row r="368" spans="11:24" ht="14.25" customHeight="1" x14ac:dyDescent="0.25">
      <c r="K368" s="80">
        <v>46134</v>
      </c>
      <c r="L368" s="78" t="s">
        <v>280</v>
      </c>
      <c r="M368" s="115"/>
      <c r="N368" s="81">
        <v>129200</v>
      </c>
      <c r="X368" s="3"/>
    </row>
    <row r="369" spans="11:24" ht="14.25" customHeight="1" x14ac:dyDescent="0.25">
      <c r="K369" s="80">
        <v>46134</v>
      </c>
      <c r="L369" s="78" t="s">
        <v>291</v>
      </c>
      <c r="M369" s="115"/>
      <c r="N369" s="81">
        <v>110000</v>
      </c>
      <c r="X369" s="3"/>
    </row>
    <row r="370" spans="11:24" ht="14.25" customHeight="1" x14ac:dyDescent="0.25">
      <c r="K370" s="80">
        <v>46135</v>
      </c>
      <c r="L370" s="78" t="s">
        <v>165</v>
      </c>
      <c r="M370" s="115"/>
      <c r="N370" s="81">
        <v>180180</v>
      </c>
      <c r="X370" s="3"/>
    </row>
    <row r="371" spans="11:24" ht="14.25" customHeight="1" x14ac:dyDescent="0.25">
      <c r="K371" s="80">
        <v>46135</v>
      </c>
      <c r="L371" s="78" t="s">
        <v>146</v>
      </c>
      <c r="M371" s="115"/>
      <c r="N371" s="81">
        <v>419265</v>
      </c>
      <c r="V371" s="37"/>
      <c r="X371" s="3"/>
    </row>
    <row r="372" spans="11:24" ht="14.25" customHeight="1" x14ac:dyDescent="0.25">
      <c r="K372" s="80">
        <v>46136</v>
      </c>
      <c r="L372" s="78" t="s">
        <v>136</v>
      </c>
      <c r="M372" s="115"/>
      <c r="N372" s="81">
        <v>75375</v>
      </c>
      <c r="X372" s="3"/>
    </row>
    <row r="373" spans="11:24" ht="14.25" customHeight="1" x14ac:dyDescent="0.25">
      <c r="K373" s="80">
        <v>46136</v>
      </c>
      <c r="L373" s="78" t="s">
        <v>249</v>
      </c>
      <c r="M373" s="115"/>
      <c r="N373" s="81">
        <v>152000</v>
      </c>
      <c r="X373" s="3"/>
    </row>
    <row r="374" spans="11:24" ht="14.25" customHeight="1" x14ac:dyDescent="0.25">
      <c r="K374" s="80">
        <v>46136</v>
      </c>
      <c r="L374" s="78" t="s">
        <v>127</v>
      </c>
      <c r="M374" s="115"/>
      <c r="N374" s="81">
        <v>108000</v>
      </c>
      <c r="V374" s="37"/>
      <c r="X374" s="3"/>
    </row>
    <row r="375" spans="11:24" ht="14.25" customHeight="1" x14ac:dyDescent="0.25">
      <c r="K375" s="80">
        <v>46136</v>
      </c>
      <c r="L375" s="78" t="s">
        <v>136</v>
      </c>
      <c r="M375" s="115"/>
      <c r="N375" s="81">
        <v>40800</v>
      </c>
      <c r="V375" s="37"/>
      <c r="X375" s="3"/>
    </row>
    <row r="376" spans="11:24" ht="14.25" customHeight="1" x14ac:dyDescent="0.25">
      <c r="K376" s="80">
        <v>46136</v>
      </c>
      <c r="L376" s="78" t="s">
        <v>125</v>
      </c>
      <c r="M376" s="115"/>
      <c r="N376" s="81">
        <v>154530</v>
      </c>
      <c r="V376" s="37"/>
      <c r="X376" s="3"/>
    </row>
    <row r="377" spans="11:24" ht="14.25" customHeight="1" x14ac:dyDescent="0.25">
      <c r="K377" s="80">
        <v>46136</v>
      </c>
      <c r="L377" s="78" t="s">
        <v>287</v>
      </c>
      <c r="M377" s="115"/>
      <c r="N377" s="81">
        <v>201496</v>
      </c>
      <c r="V377" s="37"/>
      <c r="X377" s="3"/>
    </row>
    <row r="378" spans="11:24" ht="14.25" customHeight="1" x14ac:dyDescent="0.25">
      <c r="K378" s="80">
        <v>46136</v>
      </c>
      <c r="L378" s="78" t="s">
        <v>125</v>
      </c>
      <c r="M378" s="115"/>
      <c r="N378" s="81">
        <v>400000</v>
      </c>
      <c r="V378" s="37"/>
      <c r="X378" s="3"/>
    </row>
    <row r="379" spans="11:24" ht="14.25" customHeight="1" x14ac:dyDescent="0.25">
      <c r="K379" s="80">
        <v>46136</v>
      </c>
      <c r="L379" s="78" t="s">
        <v>133</v>
      </c>
      <c r="M379" s="115"/>
      <c r="N379" s="81">
        <v>350000</v>
      </c>
      <c r="X379" s="3"/>
    </row>
    <row r="380" spans="11:24" ht="14.25" customHeight="1" x14ac:dyDescent="0.25">
      <c r="K380" s="80">
        <v>46136</v>
      </c>
      <c r="L380" s="78" t="s">
        <v>147</v>
      </c>
      <c r="M380" s="115"/>
      <c r="N380" s="81">
        <v>233880.68</v>
      </c>
      <c r="X380" s="3"/>
    </row>
    <row r="381" spans="11:24" ht="14.25" customHeight="1" x14ac:dyDescent="0.25">
      <c r="K381" s="80">
        <v>46139</v>
      </c>
      <c r="L381" s="78" t="s">
        <v>281</v>
      </c>
      <c r="M381" s="115"/>
      <c r="N381" s="81">
        <v>919720.09</v>
      </c>
      <c r="X381" s="3"/>
    </row>
    <row r="382" spans="11:24" ht="14.25" customHeight="1" x14ac:dyDescent="0.25">
      <c r="K382" s="80">
        <v>46149</v>
      </c>
      <c r="L382" s="78" t="s">
        <v>281</v>
      </c>
      <c r="M382" s="115"/>
      <c r="N382" s="81">
        <v>919720.09</v>
      </c>
      <c r="X382" s="3"/>
    </row>
    <row r="383" spans="11:24" ht="14.25" customHeight="1" x14ac:dyDescent="0.25">
      <c r="K383" s="80">
        <v>46155</v>
      </c>
      <c r="L383" s="78" t="s">
        <v>281</v>
      </c>
      <c r="M383" s="115"/>
      <c r="N383" s="81">
        <v>1925665.43</v>
      </c>
      <c r="X383" s="3"/>
    </row>
    <row r="384" spans="11:24" ht="14.25" customHeight="1" x14ac:dyDescent="0.25">
      <c r="K384" s="80">
        <v>46169</v>
      </c>
      <c r="L384" s="78" t="s">
        <v>155</v>
      </c>
      <c r="M384" s="115"/>
      <c r="N384" s="81">
        <v>919720.09</v>
      </c>
      <c r="X384" s="3"/>
    </row>
    <row r="385" spans="11:24" ht="14.25" customHeight="1" x14ac:dyDescent="0.25">
      <c r="K385" s="80">
        <v>46139</v>
      </c>
      <c r="L385" s="78" t="s">
        <v>117</v>
      </c>
      <c r="M385" s="115"/>
      <c r="N385" s="81">
        <v>490000</v>
      </c>
      <c r="X385" s="3"/>
    </row>
    <row r="386" spans="11:24" ht="14.25" customHeight="1" x14ac:dyDescent="0.25">
      <c r="K386" s="80">
        <v>46139</v>
      </c>
      <c r="L386" s="78" t="s">
        <v>177</v>
      </c>
      <c r="M386" s="115"/>
      <c r="N386" s="81">
        <v>868000</v>
      </c>
      <c r="X386" s="3"/>
    </row>
    <row r="387" spans="11:24" ht="14.25" customHeight="1" x14ac:dyDescent="0.25">
      <c r="K387" s="80">
        <v>46139</v>
      </c>
      <c r="L387" s="78" t="s">
        <v>238</v>
      </c>
      <c r="M387" s="115"/>
      <c r="N387" s="81">
        <v>125000</v>
      </c>
      <c r="X387" s="3"/>
    </row>
    <row r="388" spans="11:24" ht="14.25" customHeight="1" x14ac:dyDescent="0.25">
      <c r="K388" s="80">
        <v>46140</v>
      </c>
      <c r="L388" s="78" t="s">
        <v>134</v>
      </c>
      <c r="M388" s="115"/>
      <c r="N388" s="81">
        <v>176200</v>
      </c>
      <c r="X388" s="3"/>
    </row>
    <row r="389" spans="11:24" ht="14.25" customHeight="1" x14ac:dyDescent="0.25">
      <c r="K389" s="80">
        <v>46140</v>
      </c>
      <c r="L389" s="78" t="s">
        <v>184</v>
      </c>
      <c r="M389" s="115"/>
      <c r="N389" s="81">
        <v>263694.68</v>
      </c>
      <c r="X389" s="3"/>
    </row>
    <row r="390" spans="11:24" ht="14.25" customHeight="1" x14ac:dyDescent="0.25">
      <c r="K390" s="80">
        <v>46140</v>
      </c>
      <c r="L390" s="78" t="s">
        <v>141</v>
      </c>
      <c r="M390" s="115"/>
      <c r="N390" s="81">
        <v>289000</v>
      </c>
      <c r="X390" s="3"/>
    </row>
    <row r="391" spans="11:24" ht="14.25" customHeight="1" x14ac:dyDescent="0.25">
      <c r="K391" s="80">
        <v>46140</v>
      </c>
      <c r="L391" s="78" t="s">
        <v>272</v>
      </c>
      <c r="M391" s="115"/>
      <c r="N391" s="81">
        <v>162504</v>
      </c>
      <c r="X391" s="3"/>
    </row>
    <row r="392" spans="11:24" ht="14.25" customHeight="1" x14ac:dyDescent="0.25">
      <c r="K392" s="80">
        <v>46140</v>
      </c>
      <c r="L392" s="78" t="s">
        <v>133</v>
      </c>
      <c r="M392" s="115"/>
      <c r="N392" s="81">
        <v>450000</v>
      </c>
      <c r="X392" s="3"/>
    </row>
    <row r="393" spans="11:24" ht="14.25" customHeight="1" x14ac:dyDescent="0.25">
      <c r="K393" s="80">
        <v>46140</v>
      </c>
      <c r="L393" s="78" t="s">
        <v>133</v>
      </c>
      <c r="M393" s="115"/>
      <c r="N393" s="81">
        <v>100000</v>
      </c>
      <c r="X393" s="3"/>
    </row>
    <row r="394" spans="11:24" ht="14.25" customHeight="1" x14ac:dyDescent="0.25">
      <c r="K394" s="80">
        <v>46141</v>
      </c>
      <c r="L394" s="78" t="s">
        <v>293</v>
      </c>
      <c r="M394" s="115"/>
      <c r="N394" s="81">
        <v>61600</v>
      </c>
      <c r="X394" s="3"/>
    </row>
    <row r="395" spans="11:24" ht="14.25" customHeight="1" x14ac:dyDescent="0.25">
      <c r="K395" s="80">
        <v>46141</v>
      </c>
      <c r="L395" s="78" t="s">
        <v>294</v>
      </c>
      <c r="M395" s="115"/>
      <c r="N395" s="81">
        <v>84313.16</v>
      </c>
      <c r="X395" s="3"/>
    </row>
    <row r="396" spans="11:24" ht="14.25" customHeight="1" x14ac:dyDescent="0.25">
      <c r="K396" s="80">
        <v>46141</v>
      </c>
      <c r="L396" s="78" t="s">
        <v>263</v>
      </c>
      <c r="M396" s="115"/>
      <c r="N396" s="81">
        <v>156630</v>
      </c>
      <c r="X396" s="3"/>
    </row>
    <row r="397" spans="11:24" ht="14.25" customHeight="1" x14ac:dyDescent="0.25">
      <c r="K397" s="80">
        <v>46141</v>
      </c>
      <c r="L397" s="78" t="s">
        <v>214</v>
      </c>
      <c r="M397" s="113"/>
      <c r="N397" s="81">
        <v>165000</v>
      </c>
      <c r="X397" s="3"/>
    </row>
    <row r="398" spans="11:24" ht="14.25" customHeight="1" x14ac:dyDescent="0.25">
      <c r="K398" s="80">
        <v>46141</v>
      </c>
      <c r="L398" s="78" t="s">
        <v>133</v>
      </c>
      <c r="M398" s="115"/>
      <c r="N398" s="81">
        <v>600000</v>
      </c>
      <c r="X398" s="3"/>
    </row>
    <row r="399" spans="11:24" ht="14.25" customHeight="1" x14ac:dyDescent="0.25">
      <c r="K399" s="80">
        <v>46141</v>
      </c>
      <c r="L399" s="78" t="s">
        <v>133</v>
      </c>
      <c r="M399" s="115"/>
      <c r="N399" s="81">
        <v>500000</v>
      </c>
      <c r="X399" s="3"/>
    </row>
    <row r="400" spans="11:24" ht="14.25" customHeight="1" x14ac:dyDescent="0.25">
      <c r="K400" s="80">
        <v>46141</v>
      </c>
      <c r="L400" s="78" t="s">
        <v>252</v>
      </c>
      <c r="M400" s="113"/>
      <c r="N400" s="81">
        <v>210000</v>
      </c>
      <c r="X400" s="3"/>
    </row>
    <row r="401" spans="11:24" ht="14.25" customHeight="1" x14ac:dyDescent="0.25">
      <c r="K401" s="80">
        <v>46142</v>
      </c>
      <c r="L401" s="78" t="s">
        <v>275</v>
      </c>
      <c r="M401" s="115"/>
      <c r="N401" s="81">
        <v>50000</v>
      </c>
      <c r="X401" s="3"/>
    </row>
    <row r="402" spans="11:24" ht="14.25" customHeight="1" x14ac:dyDescent="0.25">
      <c r="K402" s="80">
        <v>46142</v>
      </c>
      <c r="L402" s="78" t="s">
        <v>295</v>
      </c>
      <c r="M402" s="115"/>
      <c r="N402" s="81">
        <v>120097.09999999999</v>
      </c>
      <c r="X402" s="3"/>
    </row>
    <row r="403" spans="11:24" ht="14.25" customHeight="1" x14ac:dyDescent="0.25">
      <c r="K403" s="80">
        <v>46142</v>
      </c>
      <c r="L403" s="78" t="s">
        <v>158</v>
      </c>
      <c r="M403" s="115"/>
      <c r="N403" s="81">
        <v>28000</v>
      </c>
      <c r="X403" s="3"/>
    </row>
    <row r="404" spans="11:24" ht="14.25" customHeight="1" x14ac:dyDescent="0.25">
      <c r="K404" s="80">
        <v>46142</v>
      </c>
      <c r="L404" s="78" t="s">
        <v>125</v>
      </c>
      <c r="M404" s="115"/>
      <c r="N404" s="81">
        <v>100000</v>
      </c>
      <c r="X404" s="3"/>
    </row>
    <row r="405" spans="11:24" ht="14.25" customHeight="1" x14ac:dyDescent="0.25">
      <c r="K405" s="80">
        <v>46157</v>
      </c>
      <c r="L405" s="78" t="s">
        <v>281</v>
      </c>
      <c r="M405" s="115"/>
      <c r="N405" s="81">
        <v>799786.09</v>
      </c>
      <c r="X405" s="3"/>
    </row>
    <row r="406" spans="11:24" ht="14.25" customHeight="1" x14ac:dyDescent="0.25">
      <c r="K406" s="80">
        <v>46159</v>
      </c>
      <c r="L406" s="78" t="s">
        <v>281</v>
      </c>
      <c r="M406" s="115"/>
      <c r="N406" s="81">
        <v>2137195.3600000003</v>
      </c>
      <c r="X406" s="3"/>
    </row>
    <row r="407" spans="11:24" ht="14.25" customHeight="1" x14ac:dyDescent="0.25">
      <c r="K407" s="80">
        <v>46146</v>
      </c>
      <c r="L407" s="78" t="s">
        <v>110</v>
      </c>
      <c r="M407" s="115"/>
      <c r="N407" s="81">
        <v>80000</v>
      </c>
      <c r="X407" s="3"/>
    </row>
    <row r="408" spans="11:24" ht="14.25" customHeight="1" x14ac:dyDescent="0.25">
      <c r="K408" s="80">
        <v>46146</v>
      </c>
      <c r="L408" s="78" t="s">
        <v>147</v>
      </c>
      <c r="M408" s="115"/>
      <c r="N408" s="81">
        <v>285000</v>
      </c>
      <c r="X408" s="3"/>
    </row>
    <row r="409" spans="11:24" ht="14.25" customHeight="1" x14ac:dyDescent="0.25">
      <c r="K409" s="80">
        <v>46146</v>
      </c>
      <c r="L409" s="78" t="s">
        <v>225</v>
      </c>
      <c r="M409" s="115"/>
      <c r="N409" s="81">
        <f>330000+66300</f>
        <v>396300</v>
      </c>
      <c r="X409" s="3"/>
    </row>
    <row r="410" spans="11:24" ht="14.25" customHeight="1" x14ac:dyDescent="0.25">
      <c r="X410" s="3"/>
    </row>
    <row r="411" spans="11:24" ht="14.25" customHeight="1" x14ac:dyDescent="0.25">
      <c r="N411" s="101"/>
      <c r="X411" s="3"/>
    </row>
    <row r="412" spans="11:24" ht="14.25" customHeight="1" x14ac:dyDescent="0.25">
      <c r="N412" s="101"/>
      <c r="X412" s="3"/>
    </row>
    <row r="413" spans="11:24" ht="14.25" customHeight="1" x14ac:dyDescent="0.25">
      <c r="X413" s="3"/>
    </row>
    <row r="414" spans="11:24" ht="14.25" customHeight="1" x14ac:dyDescent="0.25">
      <c r="X414" s="3"/>
    </row>
    <row r="415" spans="11:24" ht="14.25" customHeight="1" x14ac:dyDescent="0.25">
      <c r="X415" s="3"/>
    </row>
    <row r="416" spans="11:24" ht="14.25" customHeight="1" x14ac:dyDescent="0.25">
      <c r="X416" s="3"/>
    </row>
    <row r="417" spans="24:24" ht="14.25" customHeight="1" x14ac:dyDescent="0.25">
      <c r="X417" s="3"/>
    </row>
    <row r="418" spans="24:24" ht="14.25" customHeight="1" x14ac:dyDescent="0.25">
      <c r="X418" s="3"/>
    </row>
    <row r="419" spans="24:24" ht="14.25" customHeight="1" x14ac:dyDescent="0.25">
      <c r="X419" s="3"/>
    </row>
    <row r="420" spans="24:24" ht="14.25" customHeight="1" x14ac:dyDescent="0.25">
      <c r="X420" s="3"/>
    </row>
    <row r="421" spans="24:24" ht="14.25" customHeight="1" x14ac:dyDescent="0.25">
      <c r="X421" s="3"/>
    </row>
    <row r="422" spans="24:24" ht="14.25" customHeight="1" x14ac:dyDescent="0.25">
      <c r="X422" s="3"/>
    </row>
    <row r="423" spans="24:24" ht="14.25" customHeight="1" x14ac:dyDescent="0.25">
      <c r="X423" s="3"/>
    </row>
    <row r="424" spans="24:24" ht="14.25" customHeight="1" x14ac:dyDescent="0.25">
      <c r="X424" s="3"/>
    </row>
    <row r="425" spans="24:24" ht="14.25" customHeight="1" x14ac:dyDescent="0.25">
      <c r="X425" s="3"/>
    </row>
    <row r="426" spans="24:24" ht="14.25" customHeight="1" x14ac:dyDescent="0.25">
      <c r="X426" s="3"/>
    </row>
    <row r="427" spans="24:24" ht="14.25" customHeight="1" x14ac:dyDescent="0.25">
      <c r="X427" s="3"/>
    </row>
    <row r="428" spans="24:24" ht="14.25" customHeight="1" x14ac:dyDescent="0.25">
      <c r="X428" s="3"/>
    </row>
    <row r="429" spans="24:24" ht="14.25" customHeight="1" x14ac:dyDescent="0.25">
      <c r="X429" s="3"/>
    </row>
    <row r="430" spans="24:24" ht="14.25" customHeight="1" x14ac:dyDescent="0.25">
      <c r="X430" s="3"/>
    </row>
    <row r="431" spans="24:24" ht="14.25" customHeight="1" x14ac:dyDescent="0.25">
      <c r="X431" s="3"/>
    </row>
    <row r="432" spans="24:24" ht="14.25" customHeight="1" x14ac:dyDescent="0.25">
      <c r="X432" s="3"/>
    </row>
    <row r="433" spans="24:24" ht="14.25" customHeight="1" x14ac:dyDescent="0.25">
      <c r="X433" s="3"/>
    </row>
    <row r="434" spans="24:24" ht="14.25" customHeight="1" x14ac:dyDescent="0.25">
      <c r="X434" s="3"/>
    </row>
    <row r="435" spans="24:24" ht="14.25" customHeight="1" x14ac:dyDescent="0.25">
      <c r="X435" s="3"/>
    </row>
    <row r="436" spans="24:24" ht="14.25" customHeight="1" x14ac:dyDescent="0.25">
      <c r="X436" s="3"/>
    </row>
    <row r="437" spans="24:24" ht="14.25" customHeight="1" x14ac:dyDescent="0.25">
      <c r="X437" s="3"/>
    </row>
    <row r="438" spans="24:24" ht="14.25" customHeight="1" x14ac:dyDescent="0.25">
      <c r="X438" s="3"/>
    </row>
    <row r="439" spans="24:24" ht="14.25" customHeight="1" x14ac:dyDescent="0.25">
      <c r="X439" s="3"/>
    </row>
    <row r="440" spans="24:24" ht="14.25" customHeight="1" x14ac:dyDescent="0.25">
      <c r="X440" s="3"/>
    </row>
    <row r="441" spans="24:24" ht="14.25" customHeight="1" x14ac:dyDescent="0.25">
      <c r="X441" s="3"/>
    </row>
    <row r="442" spans="24:24" ht="14.25" customHeight="1" x14ac:dyDescent="0.25">
      <c r="X442" s="3"/>
    </row>
    <row r="443" spans="24:24" ht="14.25" customHeight="1" x14ac:dyDescent="0.25">
      <c r="X443" s="3"/>
    </row>
    <row r="444" spans="24:24" ht="14.25" customHeight="1" x14ac:dyDescent="0.25">
      <c r="X444" s="3"/>
    </row>
    <row r="445" spans="24:24" ht="14.25" customHeight="1" x14ac:dyDescent="0.25">
      <c r="X445" s="3"/>
    </row>
    <row r="446" spans="24:24" ht="14.25" customHeight="1" x14ac:dyDescent="0.25">
      <c r="X446" s="3"/>
    </row>
    <row r="447" spans="24:24" ht="14.25" customHeight="1" x14ac:dyDescent="0.25">
      <c r="X447" s="3"/>
    </row>
    <row r="448" spans="24:24" ht="14.25" customHeight="1" x14ac:dyDescent="0.25">
      <c r="X448" s="3"/>
    </row>
    <row r="449" spans="24:24" ht="14.25" customHeight="1" x14ac:dyDescent="0.25">
      <c r="X449" s="3"/>
    </row>
    <row r="450" spans="24:24" ht="14.25" customHeight="1" x14ac:dyDescent="0.25">
      <c r="X450" s="3"/>
    </row>
    <row r="451" spans="24:24" ht="14.25" customHeight="1" x14ac:dyDescent="0.25">
      <c r="X451" s="3"/>
    </row>
    <row r="452" spans="24:24" ht="14.25" customHeight="1" x14ac:dyDescent="0.25">
      <c r="X452" s="3"/>
    </row>
    <row r="453" spans="24:24" ht="14.25" customHeight="1" x14ac:dyDescent="0.25">
      <c r="X453" s="3"/>
    </row>
    <row r="454" spans="24:24" ht="14.25" customHeight="1" x14ac:dyDescent="0.25">
      <c r="X454" s="3"/>
    </row>
    <row r="455" spans="24:24" ht="14.25" customHeight="1" x14ac:dyDescent="0.25">
      <c r="X455" s="3"/>
    </row>
    <row r="456" spans="24:24" ht="14.25" customHeight="1" x14ac:dyDescent="0.25">
      <c r="X456" s="3"/>
    </row>
    <row r="457" spans="24:24" ht="14.25" customHeight="1" x14ac:dyDescent="0.25">
      <c r="X457" s="3"/>
    </row>
    <row r="458" spans="24:24" ht="14.25" customHeight="1" x14ac:dyDescent="0.25">
      <c r="X458" s="3"/>
    </row>
    <row r="459" spans="24:24" ht="14.25" customHeight="1" x14ac:dyDescent="0.25">
      <c r="X459" s="3"/>
    </row>
    <row r="460" spans="24:24" ht="14.25" customHeight="1" x14ac:dyDescent="0.25">
      <c r="X460" s="3"/>
    </row>
    <row r="461" spans="24:24" ht="14.25" customHeight="1" x14ac:dyDescent="0.25">
      <c r="X461" s="3"/>
    </row>
    <row r="462" spans="24:24" ht="14.25" customHeight="1" x14ac:dyDescent="0.25">
      <c r="X462" s="3"/>
    </row>
    <row r="463" spans="24:24" ht="14.25" customHeight="1" x14ac:dyDescent="0.25">
      <c r="X463" s="3"/>
    </row>
    <row r="464" spans="24:24" ht="14.25" customHeight="1" x14ac:dyDescent="0.25">
      <c r="X464" s="3"/>
    </row>
    <row r="465" spans="24:24" ht="14.25" customHeight="1" x14ac:dyDescent="0.25">
      <c r="X465" s="3"/>
    </row>
    <row r="466" spans="24:24" ht="14.25" customHeight="1" x14ac:dyDescent="0.25">
      <c r="X466" s="3"/>
    </row>
    <row r="467" spans="24:24" ht="14.25" customHeight="1" x14ac:dyDescent="0.25">
      <c r="X467" s="3"/>
    </row>
    <row r="468" spans="24:24" ht="14.25" customHeight="1" x14ac:dyDescent="0.25">
      <c r="X468" s="3"/>
    </row>
    <row r="469" spans="24:24" ht="14.25" customHeight="1" x14ac:dyDescent="0.25">
      <c r="X469" s="3"/>
    </row>
    <row r="470" spans="24:24" ht="14.25" customHeight="1" x14ac:dyDescent="0.25">
      <c r="X470" s="3"/>
    </row>
    <row r="471" spans="24:24" ht="14.25" customHeight="1" x14ac:dyDescent="0.25">
      <c r="X471" s="3"/>
    </row>
    <row r="472" spans="24:24" ht="14.25" customHeight="1" x14ac:dyDescent="0.25">
      <c r="X472" s="3"/>
    </row>
    <row r="473" spans="24:24" ht="14.25" customHeight="1" x14ac:dyDescent="0.25">
      <c r="X473" s="3"/>
    </row>
    <row r="474" spans="24:24" ht="14.25" customHeight="1" x14ac:dyDescent="0.25">
      <c r="X474" s="3"/>
    </row>
    <row r="475" spans="24:24" ht="14.25" customHeight="1" x14ac:dyDescent="0.25">
      <c r="X475" s="3"/>
    </row>
    <row r="476" spans="24:24" ht="14.25" customHeight="1" x14ac:dyDescent="0.25">
      <c r="X476" s="3"/>
    </row>
    <row r="477" spans="24:24" ht="14.25" customHeight="1" x14ac:dyDescent="0.25">
      <c r="X477" s="3"/>
    </row>
    <row r="478" spans="24:24" ht="14.25" customHeight="1" x14ac:dyDescent="0.25">
      <c r="X478" s="3"/>
    </row>
    <row r="479" spans="24:24" ht="14.25" customHeight="1" x14ac:dyDescent="0.25">
      <c r="X479" s="3"/>
    </row>
    <row r="480" spans="24:24" ht="14.25" customHeight="1" x14ac:dyDescent="0.25">
      <c r="X480" s="3"/>
    </row>
    <row r="481" spans="24:24" ht="14.25" customHeight="1" x14ac:dyDescent="0.25">
      <c r="X481" s="3"/>
    </row>
    <row r="482" spans="24:24" ht="14.25" customHeight="1" x14ac:dyDescent="0.25">
      <c r="X482" s="3"/>
    </row>
    <row r="483" spans="24:24" ht="14.25" customHeight="1" x14ac:dyDescent="0.25">
      <c r="X483" s="3"/>
    </row>
    <row r="484" spans="24:24" ht="14.25" customHeight="1" x14ac:dyDescent="0.25">
      <c r="X484" s="3"/>
    </row>
    <row r="485" spans="24:24" ht="14.25" customHeight="1" x14ac:dyDescent="0.25">
      <c r="X485" s="3"/>
    </row>
    <row r="486" spans="24:24" ht="14.25" customHeight="1" x14ac:dyDescent="0.25">
      <c r="X486" s="3"/>
    </row>
    <row r="487" spans="24:24" ht="14.25" customHeight="1" x14ac:dyDescent="0.25">
      <c r="X487" s="3"/>
    </row>
    <row r="488" spans="24:24" ht="14.25" customHeight="1" x14ac:dyDescent="0.25">
      <c r="X488" s="3"/>
    </row>
    <row r="489" spans="24:24" ht="14.25" customHeight="1" x14ac:dyDescent="0.25">
      <c r="X489" s="3"/>
    </row>
    <row r="490" spans="24:24" ht="14.25" customHeight="1" x14ac:dyDescent="0.25">
      <c r="X490" s="3"/>
    </row>
    <row r="491" spans="24:24" ht="14.25" customHeight="1" x14ac:dyDescent="0.25">
      <c r="X491" s="3"/>
    </row>
    <row r="492" spans="24:24" ht="14.25" customHeight="1" x14ac:dyDescent="0.25">
      <c r="X492" s="3"/>
    </row>
    <row r="493" spans="24:24" ht="14.25" customHeight="1" x14ac:dyDescent="0.25">
      <c r="X493" s="3"/>
    </row>
    <row r="494" spans="24:24" ht="14.25" customHeight="1" x14ac:dyDescent="0.25">
      <c r="X494" s="3"/>
    </row>
    <row r="495" spans="24:24" ht="14.25" customHeight="1" x14ac:dyDescent="0.25">
      <c r="X495" s="3"/>
    </row>
    <row r="496" spans="24:24" ht="14.25" customHeight="1" x14ac:dyDescent="0.25">
      <c r="X496" s="3"/>
    </row>
    <row r="497" spans="24:24" ht="14.25" customHeight="1" x14ac:dyDescent="0.25">
      <c r="X497" s="3"/>
    </row>
    <row r="498" spans="24:24" ht="14.25" customHeight="1" x14ac:dyDescent="0.25">
      <c r="X498" s="3"/>
    </row>
    <row r="499" spans="24:24" ht="14.25" customHeight="1" x14ac:dyDescent="0.25">
      <c r="X499" s="3"/>
    </row>
    <row r="500" spans="24:24" ht="14.25" customHeight="1" x14ac:dyDescent="0.25">
      <c r="X500" s="3"/>
    </row>
    <row r="501" spans="24:24" ht="14.25" customHeight="1" x14ac:dyDescent="0.25">
      <c r="X501" s="3"/>
    </row>
    <row r="502" spans="24:24" ht="14.25" customHeight="1" x14ac:dyDescent="0.25">
      <c r="X502" s="3"/>
    </row>
    <row r="503" spans="24:24" ht="14.25" customHeight="1" x14ac:dyDescent="0.25">
      <c r="X503" s="3"/>
    </row>
    <row r="504" spans="24:24" ht="14.25" customHeight="1" x14ac:dyDescent="0.25">
      <c r="X504" s="3"/>
    </row>
    <row r="505" spans="24:24" ht="14.25" customHeight="1" x14ac:dyDescent="0.25">
      <c r="X505" s="3"/>
    </row>
    <row r="506" spans="24:24" ht="14.25" customHeight="1" x14ac:dyDescent="0.25">
      <c r="X506" s="3"/>
    </row>
    <row r="507" spans="24:24" ht="14.25" customHeight="1" x14ac:dyDescent="0.25">
      <c r="X507" s="3"/>
    </row>
    <row r="508" spans="24:24" ht="14.25" customHeight="1" x14ac:dyDescent="0.25">
      <c r="X508" s="3"/>
    </row>
    <row r="509" spans="24:24" ht="14.25" customHeight="1" x14ac:dyDescent="0.25">
      <c r="X509" s="3"/>
    </row>
    <row r="510" spans="24:24" ht="14.25" customHeight="1" x14ac:dyDescent="0.25">
      <c r="X510" s="3"/>
    </row>
    <row r="511" spans="24:24" ht="14.25" customHeight="1" x14ac:dyDescent="0.25">
      <c r="X511" s="3"/>
    </row>
    <row r="512" spans="24:24" ht="14.25" customHeight="1" x14ac:dyDescent="0.25">
      <c r="X512" s="3"/>
    </row>
    <row r="513" spans="24:24" ht="14.25" customHeight="1" x14ac:dyDescent="0.25">
      <c r="X513" s="3"/>
    </row>
    <row r="514" spans="24:24" ht="14.25" customHeight="1" x14ac:dyDescent="0.25">
      <c r="X514" s="3"/>
    </row>
    <row r="515" spans="24:24" ht="14.25" customHeight="1" x14ac:dyDescent="0.25">
      <c r="X515" s="3"/>
    </row>
    <row r="516" spans="24:24" ht="14.25" customHeight="1" x14ac:dyDescent="0.25">
      <c r="X516" s="3"/>
    </row>
    <row r="517" spans="24:24" ht="14.25" customHeight="1" x14ac:dyDescent="0.25">
      <c r="X517" s="3"/>
    </row>
    <row r="518" spans="24:24" ht="14.25" customHeight="1" x14ac:dyDescent="0.25">
      <c r="X518" s="3"/>
    </row>
    <row r="519" spans="24:24" ht="14.25" customHeight="1" x14ac:dyDescent="0.25">
      <c r="X519" s="3"/>
    </row>
    <row r="520" spans="24:24" ht="14.25" customHeight="1" x14ac:dyDescent="0.25">
      <c r="X520" s="3"/>
    </row>
    <row r="521" spans="24:24" ht="14.25" customHeight="1" x14ac:dyDescent="0.25">
      <c r="X521" s="3"/>
    </row>
    <row r="522" spans="24:24" ht="14.25" customHeight="1" x14ac:dyDescent="0.25">
      <c r="X522" s="3"/>
    </row>
    <row r="523" spans="24:24" ht="14.25" customHeight="1" x14ac:dyDescent="0.25">
      <c r="X523" s="3"/>
    </row>
    <row r="524" spans="24:24" ht="14.25" customHeight="1" x14ac:dyDescent="0.25">
      <c r="X524" s="3"/>
    </row>
    <row r="525" spans="24:24" ht="14.25" customHeight="1" x14ac:dyDescent="0.25">
      <c r="X525" s="3"/>
    </row>
    <row r="526" spans="24:24" ht="14.25" customHeight="1" x14ac:dyDescent="0.25">
      <c r="X526" s="3"/>
    </row>
    <row r="527" spans="24:24" ht="14.25" customHeight="1" x14ac:dyDescent="0.25">
      <c r="X527" s="3"/>
    </row>
    <row r="528" spans="24:24" ht="14.25" customHeight="1" x14ac:dyDescent="0.25">
      <c r="X528" s="3"/>
    </row>
    <row r="529" spans="24:24" ht="14.25" customHeight="1" x14ac:dyDescent="0.25">
      <c r="X529" s="3"/>
    </row>
    <row r="530" spans="24:24" ht="14.25" customHeight="1" x14ac:dyDescent="0.25">
      <c r="X530" s="3"/>
    </row>
    <row r="531" spans="24:24" ht="14.25" customHeight="1" x14ac:dyDescent="0.25">
      <c r="X531" s="3"/>
    </row>
    <row r="532" spans="24:24" ht="14.25" customHeight="1" x14ac:dyDescent="0.25">
      <c r="X532" s="3"/>
    </row>
    <row r="533" spans="24:24" ht="14.25" customHeight="1" x14ac:dyDescent="0.25">
      <c r="X533" s="3"/>
    </row>
    <row r="534" spans="24:24" ht="14.25" customHeight="1" x14ac:dyDescent="0.25">
      <c r="X534" s="3"/>
    </row>
    <row r="535" spans="24:24" ht="14.25" customHeight="1" x14ac:dyDescent="0.25">
      <c r="X535" s="3"/>
    </row>
    <row r="536" spans="24:24" ht="14.25" customHeight="1" x14ac:dyDescent="0.25">
      <c r="X536" s="3"/>
    </row>
    <row r="537" spans="24:24" ht="14.25" customHeight="1" x14ac:dyDescent="0.25">
      <c r="X537" s="3"/>
    </row>
    <row r="538" spans="24:24" ht="14.25" customHeight="1" x14ac:dyDescent="0.25">
      <c r="X538" s="3"/>
    </row>
    <row r="539" spans="24:24" ht="14.25" customHeight="1" x14ac:dyDescent="0.25">
      <c r="X539" s="3"/>
    </row>
    <row r="540" spans="24:24" ht="14.25" customHeight="1" x14ac:dyDescent="0.25">
      <c r="X540" s="3"/>
    </row>
    <row r="541" spans="24:24" ht="14.25" customHeight="1" x14ac:dyDescent="0.25">
      <c r="X541" s="3"/>
    </row>
    <row r="542" spans="24:24" ht="14.25" customHeight="1" x14ac:dyDescent="0.25">
      <c r="X542" s="3"/>
    </row>
    <row r="543" spans="24:24" ht="14.25" customHeight="1" x14ac:dyDescent="0.25">
      <c r="X543" s="3"/>
    </row>
    <row r="544" spans="24:24" ht="14.25" customHeight="1" x14ac:dyDescent="0.25">
      <c r="X544" s="3"/>
    </row>
    <row r="545" spans="24:24" ht="14.25" customHeight="1" x14ac:dyDescent="0.25">
      <c r="X545" s="3"/>
    </row>
    <row r="546" spans="24:24" ht="14.25" customHeight="1" x14ac:dyDescent="0.25">
      <c r="X546" s="3"/>
    </row>
    <row r="547" spans="24:24" ht="14.25" customHeight="1" x14ac:dyDescent="0.25">
      <c r="X547" s="3"/>
    </row>
    <row r="548" spans="24:24" ht="14.25" customHeight="1" x14ac:dyDescent="0.25">
      <c r="X548" s="3"/>
    </row>
    <row r="549" spans="24:24" ht="14.25" customHeight="1" x14ac:dyDescent="0.25">
      <c r="X549" s="3"/>
    </row>
    <row r="550" spans="24:24" ht="14.25" customHeight="1" x14ac:dyDescent="0.25">
      <c r="X550" s="3"/>
    </row>
    <row r="551" spans="24:24" ht="14.25" customHeight="1" x14ac:dyDescent="0.25">
      <c r="X551" s="3"/>
    </row>
    <row r="552" spans="24:24" ht="14.25" customHeight="1" x14ac:dyDescent="0.25">
      <c r="X552" s="3"/>
    </row>
    <row r="553" spans="24:24" ht="14.25" customHeight="1" x14ac:dyDescent="0.25">
      <c r="X553" s="3"/>
    </row>
    <row r="554" spans="24:24" ht="14.25" customHeight="1" x14ac:dyDescent="0.25">
      <c r="X554" s="3"/>
    </row>
    <row r="555" spans="24:24" ht="14.25" customHeight="1" x14ac:dyDescent="0.25">
      <c r="X555" s="3"/>
    </row>
    <row r="556" spans="24:24" ht="14.25" customHeight="1" x14ac:dyDescent="0.25">
      <c r="X556" s="3"/>
    </row>
    <row r="557" spans="24:24" ht="14.25" customHeight="1" x14ac:dyDescent="0.25">
      <c r="X557" s="3"/>
    </row>
    <row r="558" spans="24:24" ht="14.25" customHeight="1" x14ac:dyDescent="0.25">
      <c r="X558" s="3"/>
    </row>
    <row r="559" spans="24:24" ht="14.25" customHeight="1" x14ac:dyDescent="0.25">
      <c r="X559" s="3"/>
    </row>
    <row r="560" spans="24:24" ht="14.25" customHeight="1" x14ac:dyDescent="0.25">
      <c r="X560" s="3"/>
    </row>
    <row r="561" spans="24:24" ht="14.25" customHeight="1" x14ac:dyDescent="0.25">
      <c r="X561" s="3"/>
    </row>
    <row r="562" spans="24:24" ht="14.25" customHeight="1" x14ac:dyDescent="0.25">
      <c r="X562" s="3"/>
    </row>
    <row r="563" spans="24:24" ht="14.25" customHeight="1" x14ac:dyDescent="0.25">
      <c r="X563" s="3"/>
    </row>
    <row r="564" spans="24:24" ht="14.25" customHeight="1" x14ac:dyDescent="0.25">
      <c r="X564" s="3"/>
    </row>
    <row r="565" spans="24:24" ht="14.25" customHeight="1" x14ac:dyDescent="0.25">
      <c r="X565" s="3"/>
    </row>
    <row r="566" spans="24:24" ht="14.25" customHeight="1" x14ac:dyDescent="0.25">
      <c r="X566" s="3"/>
    </row>
    <row r="567" spans="24:24" ht="14.25" customHeight="1" x14ac:dyDescent="0.25">
      <c r="X567" s="3"/>
    </row>
    <row r="568" spans="24:24" ht="14.25" customHeight="1" x14ac:dyDescent="0.25">
      <c r="X568" s="3"/>
    </row>
    <row r="569" spans="24:24" ht="14.25" customHeight="1" x14ac:dyDescent="0.25">
      <c r="X569" s="3"/>
    </row>
    <row r="570" spans="24:24" ht="14.25" customHeight="1" x14ac:dyDescent="0.25">
      <c r="X570" s="3"/>
    </row>
    <row r="571" spans="24:24" ht="14.25" customHeight="1" x14ac:dyDescent="0.25">
      <c r="X571" s="3"/>
    </row>
    <row r="572" spans="24:24" ht="14.25" customHeight="1" x14ac:dyDescent="0.25">
      <c r="X572" s="3"/>
    </row>
    <row r="573" spans="24:24" ht="14.25" customHeight="1" x14ac:dyDescent="0.25">
      <c r="X573" s="3"/>
    </row>
    <row r="574" spans="24:24" ht="14.25" customHeight="1" x14ac:dyDescent="0.25">
      <c r="X574" s="3"/>
    </row>
    <row r="575" spans="24:24" ht="14.25" customHeight="1" x14ac:dyDescent="0.25">
      <c r="X575" s="3"/>
    </row>
    <row r="576" spans="24:24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</sheetData>
  <sheetProtection insertColumns="0" insertRows="0" selectLockedCells="1" selectUnlockedCells="1"/>
  <autoFilter ref="U2:X206" xr:uid="{CF2DC234-5D9D-4754-BF3A-4DC3C4BCCBE4}"/>
  <mergeCells count="2">
    <mergeCell ref="AA1:AB1"/>
    <mergeCell ref="E1:I1"/>
  </mergeCells>
  <phoneticPr fontId="11" type="noConversion"/>
  <conditionalFormatting sqref="U3:X1278">
    <cfRule type="expression" dxfId="2" priority="5">
      <formula>AND($U3&lt;&gt;"",MOD(ROW()-ROW($U$3),2)=0)</formula>
    </cfRule>
  </conditionalFormatting>
  <conditionalFormatting sqref="Y1:Y1048576">
    <cfRule type="cellIs" dxfId="1" priority="2" operator="equal">
      <formula>0</formula>
    </cfRule>
    <cfRule type="cellIs" dxfId="0" priority="3" operator="greaterThan">
      <formula>0.05</formula>
    </cfRule>
  </conditionalFormatting>
  <dataValidations disablePrompts="1" count="1">
    <dataValidation type="list" allowBlank="1" showInputMessage="1" showErrorMessage="1" sqref="R3:R231 M3:M409" xr:uid="{6575895E-BA10-4968-A25B-A66FBEBC5576}">
      <formula1>"SI,NO"</formula1>
    </dataValidation>
  </dataValidations>
  <pageMargins left="0.7" right="0.7" top="0.75" bottom="0.75" header="0.3" footer="0.3"/>
  <pageSetup paperSize="9" orientation="portrait" r:id="rId1"/>
  <ignoredErrors>
    <ignoredError sqref="S3:S55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AD48-D0A7-4965-8B9B-74983D140EC9}">
  <sheetPr codeName="Hoja3"/>
  <dimension ref="A1:G197"/>
  <sheetViews>
    <sheetView workbookViewId="0">
      <selection activeCell="F9" sqref="F9"/>
    </sheetView>
  </sheetViews>
  <sheetFormatPr baseColWidth="10" defaultRowHeight="15" x14ac:dyDescent="0.25"/>
  <cols>
    <col min="1" max="3" width="11.42578125" bestFit="1" customWidth="1"/>
    <col min="5" max="5" width="9" bestFit="1" customWidth="1"/>
    <col min="6" max="6" width="8.5703125" bestFit="1" customWidth="1"/>
    <col min="7" max="7" width="11.42578125" bestFit="1" customWidth="1"/>
  </cols>
  <sheetData>
    <row r="1" spans="1:7" ht="15.75" thickBot="1" x14ac:dyDescent="0.3">
      <c r="A1" s="169" t="s">
        <v>84</v>
      </c>
      <c r="B1" s="170"/>
      <c r="C1" s="171"/>
      <c r="E1" s="169" t="s">
        <v>84</v>
      </c>
      <c r="F1" s="170"/>
      <c r="G1" s="171"/>
    </row>
    <row r="2" spans="1:7" x14ac:dyDescent="0.25">
      <c r="A2" s="24" t="s">
        <v>81</v>
      </c>
      <c r="B2" s="24" t="s">
        <v>82</v>
      </c>
      <c r="C2" s="24" t="s">
        <v>83</v>
      </c>
      <c r="E2" s="70" t="s">
        <v>81</v>
      </c>
      <c r="F2" s="70" t="s">
        <v>82</v>
      </c>
      <c r="G2" s="70" t="s">
        <v>83</v>
      </c>
    </row>
    <row r="3" spans="1:7" x14ac:dyDescent="0.25">
      <c r="A3" s="154">
        <v>45968</v>
      </c>
      <c r="B3" s="1" t="s">
        <v>84</v>
      </c>
      <c r="C3" s="87">
        <v>345000</v>
      </c>
      <c r="E3" s="153">
        <v>45968</v>
      </c>
      <c r="F3" s="70" t="s">
        <v>185</v>
      </c>
      <c r="G3" s="152">
        <f>+SUMIFS(Sueldos[Valor],Sueldos[Fecha],Sueldos2[[#This Row],[Fecha]])</f>
        <v>1841375</v>
      </c>
    </row>
    <row r="4" spans="1:7" x14ac:dyDescent="0.25">
      <c r="A4" s="154">
        <v>45968</v>
      </c>
      <c r="B4" s="1" t="s">
        <v>84</v>
      </c>
      <c r="C4" s="87">
        <v>227000</v>
      </c>
      <c r="E4" s="153">
        <v>45975</v>
      </c>
      <c r="F4" s="70" t="s">
        <v>185</v>
      </c>
      <c r="G4" s="152">
        <f>+SUMIFS(Sueldos[Valor],Sueldos[Fecha],Sueldos2[[#This Row],[Fecha]])</f>
        <v>3006390</v>
      </c>
    </row>
    <row r="5" spans="1:7" x14ac:dyDescent="0.25">
      <c r="A5" s="154">
        <v>45968</v>
      </c>
      <c r="B5" s="1" t="s">
        <v>84</v>
      </c>
      <c r="C5" s="87">
        <v>278125</v>
      </c>
      <c r="E5" s="153">
        <v>45982</v>
      </c>
      <c r="F5" s="70" t="s">
        <v>185</v>
      </c>
      <c r="G5" s="152">
        <f>+SUMIFS(Sueldos[Valor],Sueldos[Fecha],Sueldos2[[#This Row],[Fecha]])</f>
        <v>1583969</v>
      </c>
    </row>
    <row r="6" spans="1:7" x14ac:dyDescent="0.25">
      <c r="A6" s="154">
        <v>45968</v>
      </c>
      <c r="B6" s="1" t="s">
        <v>84</v>
      </c>
      <c r="C6" s="87">
        <v>280000</v>
      </c>
      <c r="E6" s="153">
        <v>45989</v>
      </c>
      <c r="F6" s="70" t="s">
        <v>185</v>
      </c>
      <c r="G6" s="152">
        <f>+SUMIFS(Sueldos[Valor],Sueldos[Fecha],Sueldos2[[#This Row],[Fecha]])</f>
        <v>2658200</v>
      </c>
    </row>
    <row r="7" spans="1:7" x14ac:dyDescent="0.25">
      <c r="A7" s="154">
        <v>45968</v>
      </c>
      <c r="B7" s="1" t="s">
        <v>84</v>
      </c>
      <c r="C7" s="87">
        <v>125000</v>
      </c>
      <c r="E7" s="153">
        <v>45996</v>
      </c>
      <c r="F7" s="70" t="s">
        <v>185</v>
      </c>
      <c r="G7" s="152">
        <f>+SUMIFS(Sueldos[Valor],Sueldos[Fecha],Sueldos2[[#This Row],[Fecha]])</f>
        <v>2738875</v>
      </c>
    </row>
    <row r="8" spans="1:7" x14ac:dyDescent="0.25">
      <c r="A8" s="154">
        <v>45968</v>
      </c>
      <c r="B8" s="1" t="s">
        <v>84</v>
      </c>
      <c r="C8" s="87">
        <v>270000</v>
      </c>
      <c r="E8" s="153">
        <v>46003</v>
      </c>
      <c r="F8" s="70" t="s">
        <v>185</v>
      </c>
      <c r="G8" s="152">
        <f>+SUMIFS(Sueldos[Valor],Sueldos[Fecha],Sueldos2[[#This Row],[Fecha]])</f>
        <v>3076473</v>
      </c>
    </row>
    <row r="9" spans="1:7" x14ac:dyDescent="0.25">
      <c r="A9" s="154">
        <v>45968</v>
      </c>
      <c r="B9" s="1" t="s">
        <v>84</v>
      </c>
      <c r="C9" s="87">
        <v>316250</v>
      </c>
      <c r="E9" s="153">
        <v>46010</v>
      </c>
      <c r="F9" s="70" t="s">
        <v>185</v>
      </c>
      <c r="G9" s="152">
        <f>+SUMIFS(Sueldos[Valor],Sueldos[Fecha],Sueldos2[[#This Row],[Fecha]])</f>
        <v>2881798.99</v>
      </c>
    </row>
    <row r="10" spans="1:7" x14ac:dyDescent="0.25">
      <c r="A10" s="154">
        <v>45975</v>
      </c>
      <c r="B10" s="1" t="s">
        <v>84</v>
      </c>
      <c r="C10" s="87">
        <v>300000</v>
      </c>
      <c r="E10" s="153">
        <v>46017</v>
      </c>
      <c r="F10" s="70" t="s">
        <v>185</v>
      </c>
      <c r="G10" s="152">
        <f>+SUMIFS(Sueldos[Valor],Sueldos[Fecha],Sueldos2[[#This Row],[Fecha]])</f>
        <v>2478250</v>
      </c>
    </row>
    <row r="11" spans="1:7" x14ac:dyDescent="0.25">
      <c r="A11" s="154">
        <v>45975</v>
      </c>
      <c r="B11" s="1" t="s">
        <v>84</v>
      </c>
      <c r="C11" s="87">
        <v>280000</v>
      </c>
      <c r="E11" s="153">
        <v>46024</v>
      </c>
      <c r="F11" s="70" t="s">
        <v>185</v>
      </c>
      <c r="G11" s="152">
        <f>+SUMIFS(Sueldos[Valor],Sueldos[Fecha],Sueldos2[[#This Row],[Fecha]])</f>
        <v>990828</v>
      </c>
    </row>
    <row r="12" spans="1:7" x14ac:dyDescent="0.25">
      <c r="A12" s="154">
        <v>45975</v>
      </c>
      <c r="B12" s="1" t="s">
        <v>84</v>
      </c>
      <c r="C12" s="87">
        <v>256000</v>
      </c>
      <c r="E12" s="153">
        <v>46031</v>
      </c>
      <c r="F12" s="70" t="s">
        <v>185</v>
      </c>
      <c r="G12" s="152">
        <f>+SUMIFS(Sueldos[Valor],Sueldos[Fecha],Sueldos2[[#This Row],[Fecha]])</f>
        <v>3061246.625</v>
      </c>
    </row>
    <row r="13" spans="1:7" x14ac:dyDescent="0.25">
      <c r="A13" s="154">
        <v>45975</v>
      </c>
      <c r="B13" s="1" t="s">
        <v>84</v>
      </c>
      <c r="C13" s="87">
        <v>747500</v>
      </c>
      <c r="E13" s="153">
        <v>46038</v>
      </c>
      <c r="F13" s="70" t="s">
        <v>185</v>
      </c>
      <c r="G13" s="152">
        <f>+SUMIFS(Sueldos[Valor],Sueldos[Fecha],Sueldos2[[#This Row],[Fecha]])</f>
        <v>1716048</v>
      </c>
    </row>
    <row r="14" spans="1:7" x14ac:dyDescent="0.25">
      <c r="A14" s="154">
        <v>45975</v>
      </c>
      <c r="B14" s="1" t="s">
        <v>84</v>
      </c>
      <c r="C14" s="87">
        <v>275000</v>
      </c>
      <c r="E14" s="153">
        <v>46045</v>
      </c>
      <c r="F14" s="70" t="s">
        <v>185</v>
      </c>
      <c r="G14" s="152">
        <f>+SUMIFS(Sueldos[Valor],Sueldos[Fecha],Sueldos2[[#This Row],[Fecha]])</f>
        <v>2906990.2199999997</v>
      </c>
    </row>
    <row r="15" spans="1:7" x14ac:dyDescent="0.25">
      <c r="A15" s="154">
        <v>45975</v>
      </c>
      <c r="B15" s="1" t="s">
        <v>84</v>
      </c>
      <c r="C15" s="87">
        <v>268750</v>
      </c>
      <c r="E15" s="153">
        <v>46052</v>
      </c>
      <c r="F15" s="70" t="s">
        <v>185</v>
      </c>
      <c r="G15" s="152">
        <f>+SUMIFS(Sueldos[Valor],Sueldos[Fecha],Sueldos2[[#This Row],[Fecha]])</f>
        <v>2798682</v>
      </c>
    </row>
    <row r="16" spans="1:7" x14ac:dyDescent="0.25">
      <c r="A16" s="154">
        <v>45975</v>
      </c>
      <c r="B16" s="1" t="s">
        <v>84</v>
      </c>
      <c r="C16" s="87">
        <v>125000</v>
      </c>
      <c r="E16" s="153">
        <v>46059</v>
      </c>
      <c r="F16" s="70" t="s">
        <v>185</v>
      </c>
      <c r="G16" s="152">
        <f>+SUMIFS(Sueldos[Valor],Sueldos[Fecha],Sueldos2[[#This Row],[Fecha]])</f>
        <v>2995483</v>
      </c>
    </row>
    <row r="17" spans="1:7" x14ac:dyDescent="0.25">
      <c r="A17" s="154">
        <v>45975</v>
      </c>
      <c r="B17" s="1" t="s">
        <v>84</v>
      </c>
      <c r="C17" s="87">
        <v>180000</v>
      </c>
      <c r="E17" s="153">
        <v>46066</v>
      </c>
      <c r="F17" s="70" t="s">
        <v>185</v>
      </c>
      <c r="G17" s="152">
        <f>+SUMIFS(Sueldos[Valor],Sueldos[Fecha],Sueldos2[[#This Row],[Fecha]])</f>
        <v>2437000</v>
      </c>
    </row>
    <row r="18" spans="1:7" x14ac:dyDescent="0.25">
      <c r="A18" s="154">
        <v>45975</v>
      </c>
      <c r="B18" s="1" t="s">
        <v>84</v>
      </c>
      <c r="C18" s="87">
        <v>574140</v>
      </c>
      <c r="E18" s="153">
        <v>46073</v>
      </c>
      <c r="F18" s="70" t="s">
        <v>185</v>
      </c>
      <c r="G18" s="152">
        <f>+SUMIFS(Sueldos[Valor],Sueldos[Fecha],Sueldos2[[#This Row],[Fecha]])</f>
        <v>2323000</v>
      </c>
    </row>
    <row r="19" spans="1:7" x14ac:dyDescent="0.25">
      <c r="A19" s="154">
        <v>45982</v>
      </c>
      <c r="B19" s="1" t="s">
        <v>84</v>
      </c>
      <c r="C19" s="87">
        <v>300000</v>
      </c>
      <c r="E19" s="153">
        <v>46080</v>
      </c>
      <c r="F19" s="70" t="s">
        <v>185</v>
      </c>
      <c r="G19" s="152">
        <f>+SUMIFS(Sueldos[Valor],Sueldos[Fecha],Sueldos2[[#This Row],[Fecha]])</f>
        <v>1862114.91</v>
      </c>
    </row>
    <row r="20" spans="1:7" x14ac:dyDescent="0.25">
      <c r="A20" s="154">
        <v>45982</v>
      </c>
      <c r="B20" s="1" t="s">
        <v>84</v>
      </c>
      <c r="C20" s="87">
        <v>206000</v>
      </c>
      <c r="E20" s="153">
        <v>46087</v>
      </c>
      <c r="F20" s="70" t="s">
        <v>185</v>
      </c>
      <c r="G20" s="152">
        <f>+SUMIFS(Sueldos[Valor],Sueldos[Fecha],Sueldos2[[#This Row],[Fecha]])</f>
        <v>3044856</v>
      </c>
    </row>
    <row r="21" spans="1:7" x14ac:dyDescent="0.25">
      <c r="A21" s="154">
        <v>45982</v>
      </c>
      <c r="B21" s="1" t="s">
        <v>84</v>
      </c>
      <c r="C21" s="87">
        <v>312969</v>
      </c>
      <c r="E21" s="153">
        <v>46094</v>
      </c>
      <c r="F21" s="70" t="s">
        <v>185</v>
      </c>
      <c r="G21" s="152">
        <f>+SUMIFS(Sueldos[Valor],Sueldos[Fecha],Sueldos2[[#This Row],[Fecha]])</f>
        <v>2263392.61</v>
      </c>
    </row>
    <row r="22" spans="1:7" x14ac:dyDescent="0.25">
      <c r="A22" s="154">
        <v>45982</v>
      </c>
      <c r="B22" s="1" t="s">
        <v>84</v>
      </c>
      <c r="C22" s="87">
        <v>280000</v>
      </c>
      <c r="E22" s="153">
        <v>46101</v>
      </c>
      <c r="F22" s="70" t="s">
        <v>185</v>
      </c>
      <c r="G22" s="152">
        <f>+SUMIFS(Sueldos[Valor],Sueldos[Fecha],Sueldos2[[#This Row],[Fecha]])</f>
        <v>3402313</v>
      </c>
    </row>
    <row r="23" spans="1:7" x14ac:dyDescent="0.25">
      <c r="A23" s="154">
        <v>45982</v>
      </c>
      <c r="B23" s="1" t="s">
        <v>84</v>
      </c>
      <c r="C23" s="87">
        <v>180000</v>
      </c>
      <c r="E23" s="153">
        <v>46108</v>
      </c>
      <c r="F23" s="70" t="s">
        <v>185</v>
      </c>
      <c r="G23" s="152">
        <f>+SUMIFS(Sueldos[Valor],Sueldos[Fecha],Sueldos2[[#This Row],[Fecha]])</f>
        <v>1931815</v>
      </c>
    </row>
    <row r="24" spans="1:7" x14ac:dyDescent="0.25">
      <c r="A24" s="154">
        <v>45982</v>
      </c>
      <c r="B24" s="1" t="s">
        <v>84</v>
      </c>
      <c r="C24" s="87">
        <v>305000</v>
      </c>
      <c r="E24" s="153">
        <v>46113</v>
      </c>
      <c r="F24" s="70" t="s">
        <v>185</v>
      </c>
      <c r="G24" s="152">
        <f>+SUMIFS(Sueldos[Valor],Sueldos[Fecha],Sueldos2[[#This Row],[Fecha]])</f>
        <v>3261850</v>
      </c>
    </row>
    <row r="25" spans="1:7" x14ac:dyDescent="0.25">
      <c r="A25" s="154">
        <v>45989</v>
      </c>
      <c r="B25" s="1" t="s">
        <v>84</v>
      </c>
      <c r="C25" s="87">
        <v>300000</v>
      </c>
      <c r="E25" s="153">
        <v>46122</v>
      </c>
      <c r="F25" s="70" t="s">
        <v>185</v>
      </c>
      <c r="G25" s="152">
        <f>+SUMIFS(Sueldos[Valor],Sueldos[Fecha],Sueldos2[[#This Row],[Fecha]])</f>
        <v>1740000</v>
      </c>
    </row>
    <row r="26" spans="1:7" x14ac:dyDescent="0.25">
      <c r="A26" s="154">
        <v>45989</v>
      </c>
      <c r="B26" s="1" t="s">
        <v>84</v>
      </c>
      <c r="C26" s="87">
        <v>280000</v>
      </c>
      <c r="E26" s="153">
        <v>46129</v>
      </c>
      <c r="F26" s="70" t="s">
        <v>185</v>
      </c>
      <c r="G26" s="152">
        <f>+SUMIFS(Sueldos[Valor],Sueldos[Fecha],Sueldos2[[#This Row],[Fecha]])</f>
        <v>3468465</v>
      </c>
    </row>
    <row r="27" spans="1:7" x14ac:dyDescent="0.25">
      <c r="A27" s="154">
        <v>45989</v>
      </c>
      <c r="B27" s="1" t="s">
        <v>84</v>
      </c>
      <c r="C27" s="87">
        <v>186700</v>
      </c>
      <c r="E27" s="153">
        <v>46136</v>
      </c>
      <c r="F27" s="70"/>
      <c r="G27" s="152">
        <f>+SUMIFS(Sueldos[Valor],Sueldos[Fecha],Sueldos2[[#This Row],[Fecha]])</f>
        <v>2172000</v>
      </c>
    </row>
    <row r="28" spans="1:7" x14ac:dyDescent="0.25">
      <c r="A28" s="154">
        <v>45989</v>
      </c>
      <c r="B28" s="1" t="s">
        <v>84</v>
      </c>
      <c r="C28" s="87">
        <v>564000</v>
      </c>
      <c r="E28" s="153">
        <v>46143</v>
      </c>
      <c r="F28" s="70" t="s">
        <v>185</v>
      </c>
      <c r="G28" s="152">
        <f>+SUMIFS(Sueldos[Valor],Sueldos[Fecha],Sueldos2[[#This Row],[Fecha]])</f>
        <v>3404424</v>
      </c>
    </row>
    <row r="29" spans="1:7" x14ac:dyDescent="0.25">
      <c r="A29" s="154">
        <v>45989</v>
      </c>
      <c r="B29" s="1" t="s">
        <v>84</v>
      </c>
      <c r="C29" s="87">
        <v>320000</v>
      </c>
    </row>
    <row r="30" spans="1:7" x14ac:dyDescent="0.25">
      <c r="A30" s="154">
        <v>45989</v>
      </c>
      <c r="B30" s="1" t="s">
        <v>84</v>
      </c>
      <c r="C30" s="87">
        <v>252500</v>
      </c>
    </row>
    <row r="31" spans="1:7" x14ac:dyDescent="0.25">
      <c r="A31" s="154">
        <v>45989</v>
      </c>
      <c r="B31" s="1" t="s">
        <v>84</v>
      </c>
      <c r="C31" s="87">
        <v>180000</v>
      </c>
    </row>
    <row r="32" spans="1:7" x14ac:dyDescent="0.25">
      <c r="A32" s="154">
        <v>45989</v>
      </c>
      <c r="B32" s="1" t="s">
        <v>84</v>
      </c>
      <c r="C32" s="87">
        <v>575000</v>
      </c>
    </row>
    <row r="33" spans="1:3" x14ac:dyDescent="0.25">
      <c r="A33" s="154">
        <v>45996</v>
      </c>
      <c r="B33" s="1" t="s">
        <v>84</v>
      </c>
      <c r="C33" s="87">
        <v>1500000</v>
      </c>
    </row>
    <row r="34" spans="1:3" x14ac:dyDescent="0.25">
      <c r="A34" s="154">
        <v>45996</v>
      </c>
      <c r="B34" s="1" t="s">
        <v>84</v>
      </c>
      <c r="C34" s="87">
        <v>204000</v>
      </c>
    </row>
    <row r="35" spans="1:3" x14ac:dyDescent="0.25">
      <c r="A35" s="154">
        <v>45996</v>
      </c>
      <c r="B35" s="1" t="s">
        <v>84</v>
      </c>
      <c r="C35" s="87">
        <v>287500</v>
      </c>
    </row>
    <row r="36" spans="1:3" x14ac:dyDescent="0.25">
      <c r="A36" s="154">
        <v>45996</v>
      </c>
      <c r="B36" s="1" t="s">
        <v>84</v>
      </c>
      <c r="C36" s="87">
        <v>280000</v>
      </c>
    </row>
    <row r="37" spans="1:3" x14ac:dyDescent="0.25">
      <c r="A37" s="154">
        <v>45996</v>
      </c>
      <c r="B37" s="1" t="s">
        <v>84</v>
      </c>
      <c r="C37" s="87">
        <v>180000</v>
      </c>
    </row>
    <row r="38" spans="1:3" x14ac:dyDescent="0.25">
      <c r="A38" s="154">
        <v>45996</v>
      </c>
      <c r="B38" s="1" t="s">
        <v>84</v>
      </c>
      <c r="C38" s="87">
        <v>287375</v>
      </c>
    </row>
    <row r="39" spans="1:3" x14ac:dyDescent="0.25">
      <c r="A39" s="154">
        <v>46003</v>
      </c>
      <c r="B39" s="1" t="s">
        <v>84</v>
      </c>
      <c r="C39" s="87">
        <v>280000</v>
      </c>
    </row>
    <row r="40" spans="1:3" x14ac:dyDescent="0.25">
      <c r="A40" s="154">
        <v>46003</v>
      </c>
      <c r="B40" s="1" t="s">
        <v>84</v>
      </c>
      <c r="C40" s="87">
        <v>200000</v>
      </c>
    </row>
    <row r="41" spans="1:3" x14ac:dyDescent="0.25">
      <c r="A41" s="154">
        <v>46003</v>
      </c>
      <c r="B41" s="1" t="s">
        <v>84</v>
      </c>
      <c r="C41" s="87">
        <v>662379</v>
      </c>
    </row>
    <row r="42" spans="1:3" x14ac:dyDescent="0.25">
      <c r="A42" s="154">
        <v>46003</v>
      </c>
      <c r="B42" s="1" t="s">
        <v>84</v>
      </c>
      <c r="C42" s="87">
        <v>386594</v>
      </c>
    </row>
    <row r="43" spans="1:3" x14ac:dyDescent="0.25">
      <c r="A43" s="154">
        <v>46003</v>
      </c>
      <c r="B43" s="1" t="s">
        <v>84</v>
      </c>
      <c r="C43" s="87">
        <v>792500</v>
      </c>
    </row>
    <row r="44" spans="1:3" x14ac:dyDescent="0.25">
      <c r="A44" s="154">
        <v>46003</v>
      </c>
      <c r="B44" s="1" t="s">
        <v>84</v>
      </c>
      <c r="C44" s="87">
        <v>180000</v>
      </c>
    </row>
    <row r="45" spans="1:3" x14ac:dyDescent="0.25">
      <c r="A45" s="154">
        <v>46003</v>
      </c>
      <c r="B45" s="1" t="s">
        <v>84</v>
      </c>
      <c r="C45" s="87">
        <v>575000</v>
      </c>
    </row>
    <row r="46" spans="1:3" x14ac:dyDescent="0.25">
      <c r="A46" s="154">
        <v>46010</v>
      </c>
      <c r="B46" s="1" t="s">
        <v>84</v>
      </c>
      <c r="C46" s="87">
        <v>174000</v>
      </c>
    </row>
    <row r="47" spans="1:3" x14ac:dyDescent="0.25">
      <c r="A47" s="154">
        <v>46010</v>
      </c>
      <c r="B47" s="1" t="s">
        <v>84</v>
      </c>
      <c r="C47" s="87">
        <v>750000</v>
      </c>
    </row>
    <row r="48" spans="1:3" x14ac:dyDescent="0.25">
      <c r="A48" s="154">
        <v>46010</v>
      </c>
      <c r="B48" s="1" t="s">
        <v>84</v>
      </c>
      <c r="C48" s="87">
        <v>232330</v>
      </c>
    </row>
    <row r="49" spans="1:3" x14ac:dyDescent="0.25">
      <c r="A49" s="154">
        <v>46010</v>
      </c>
      <c r="B49" s="1" t="s">
        <v>84</v>
      </c>
      <c r="C49" s="87">
        <v>649999.99</v>
      </c>
    </row>
    <row r="50" spans="1:3" x14ac:dyDescent="0.25">
      <c r="A50" s="154">
        <v>46010</v>
      </c>
      <c r="B50" s="1" t="s">
        <v>84</v>
      </c>
      <c r="C50" s="87">
        <v>180000</v>
      </c>
    </row>
    <row r="51" spans="1:3" x14ac:dyDescent="0.25">
      <c r="A51" s="154">
        <v>46010</v>
      </c>
      <c r="B51" s="1" t="s">
        <v>84</v>
      </c>
      <c r="C51" s="87">
        <v>895469</v>
      </c>
    </row>
    <row r="52" spans="1:3" x14ac:dyDescent="0.25">
      <c r="A52" s="154">
        <v>46017</v>
      </c>
      <c r="B52" s="1" t="s">
        <v>84</v>
      </c>
      <c r="C52" s="87">
        <v>315000</v>
      </c>
    </row>
    <row r="53" spans="1:3" x14ac:dyDescent="0.25">
      <c r="A53" s="154">
        <v>46017</v>
      </c>
      <c r="B53" s="1" t="s">
        <v>84</v>
      </c>
      <c r="C53" s="87">
        <v>840000</v>
      </c>
    </row>
    <row r="54" spans="1:3" x14ac:dyDescent="0.25">
      <c r="A54" s="154">
        <v>46017</v>
      </c>
      <c r="B54" s="1" t="s">
        <v>84</v>
      </c>
      <c r="C54" s="87">
        <v>130000</v>
      </c>
    </row>
    <row r="55" spans="1:3" x14ac:dyDescent="0.25">
      <c r="A55" s="154">
        <v>46017</v>
      </c>
      <c r="B55" s="1" t="s">
        <v>84</v>
      </c>
      <c r="C55" s="87">
        <v>664500</v>
      </c>
    </row>
    <row r="56" spans="1:3" x14ac:dyDescent="0.25">
      <c r="A56" s="154">
        <v>46017</v>
      </c>
      <c r="B56" s="1" t="s">
        <v>84</v>
      </c>
      <c r="C56" s="87">
        <v>288750</v>
      </c>
    </row>
    <row r="57" spans="1:3" x14ac:dyDescent="0.25">
      <c r="A57" s="154">
        <v>46017</v>
      </c>
      <c r="B57" s="1" t="s">
        <v>84</v>
      </c>
      <c r="C57" s="87">
        <v>90000</v>
      </c>
    </row>
    <row r="58" spans="1:3" x14ac:dyDescent="0.25">
      <c r="A58" s="154">
        <v>46017</v>
      </c>
      <c r="B58" s="1" t="s">
        <v>84</v>
      </c>
      <c r="C58" s="87">
        <v>150000</v>
      </c>
    </row>
    <row r="59" spans="1:3" x14ac:dyDescent="0.25">
      <c r="A59" s="154">
        <v>46024</v>
      </c>
      <c r="B59" s="1" t="s">
        <v>84</v>
      </c>
      <c r="C59" s="87">
        <v>300000</v>
      </c>
    </row>
    <row r="60" spans="1:3" x14ac:dyDescent="0.25">
      <c r="A60" s="154">
        <v>46024</v>
      </c>
      <c r="B60" s="1" t="s">
        <v>84</v>
      </c>
      <c r="C60" s="87">
        <v>125000</v>
      </c>
    </row>
    <row r="61" spans="1:3" x14ac:dyDescent="0.25">
      <c r="A61" s="154">
        <v>46024</v>
      </c>
      <c r="B61" s="1" t="s">
        <v>84</v>
      </c>
      <c r="C61" s="87">
        <v>280000</v>
      </c>
    </row>
    <row r="62" spans="1:3" x14ac:dyDescent="0.25">
      <c r="A62" s="154">
        <v>46024</v>
      </c>
      <c r="B62" s="1" t="s">
        <v>84</v>
      </c>
      <c r="C62" s="87">
        <v>285828</v>
      </c>
    </row>
    <row r="63" spans="1:3" x14ac:dyDescent="0.25">
      <c r="A63" s="154">
        <v>46031</v>
      </c>
      <c r="B63" s="1" t="s">
        <v>84</v>
      </c>
      <c r="C63" s="87">
        <v>300000</v>
      </c>
    </row>
    <row r="64" spans="1:3" x14ac:dyDescent="0.25">
      <c r="A64" s="154">
        <v>46031</v>
      </c>
      <c r="B64" s="1" t="s">
        <v>84</v>
      </c>
      <c r="C64" s="87">
        <v>280000</v>
      </c>
    </row>
    <row r="65" spans="1:3" x14ac:dyDescent="0.25">
      <c r="A65" s="154">
        <v>46031</v>
      </c>
      <c r="B65" s="1" t="s">
        <v>84</v>
      </c>
      <c r="C65" s="87">
        <v>163000</v>
      </c>
    </row>
    <row r="66" spans="1:3" x14ac:dyDescent="0.25">
      <c r="A66" s="154">
        <v>46031</v>
      </c>
      <c r="B66" s="1" t="s">
        <v>84</v>
      </c>
      <c r="C66" s="87">
        <v>728390.625</v>
      </c>
    </row>
    <row r="67" spans="1:3" x14ac:dyDescent="0.25">
      <c r="A67" s="154">
        <v>46031</v>
      </c>
      <c r="B67" s="1" t="s">
        <v>84</v>
      </c>
      <c r="C67" s="87">
        <v>274856</v>
      </c>
    </row>
    <row r="68" spans="1:3" x14ac:dyDescent="0.25">
      <c r="A68" s="154">
        <v>46031</v>
      </c>
      <c r="B68" s="1" t="s">
        <v>84</v>
      </c>
      <c r="C68" s="87">
        <v>250000</v>
      </c>
    </row>
    <row r="69" spans="1:3" x14ac:dyDescent="0.25">
      <c r="A69" s="154">
        <v>46031</v>
      </c>
      <c r="B69" s="1" t="s">
        <v>84</v>
      </c>
      <c r="C69" s="87">
        <v>180000</v>
      </c>
    </row>
    <row r="70" spans="1:3" x14ac:dyDescent="0.25">
      <c r="A70" s="154">
        <v>46031</v>
      </c>
      <c r="B70" s="1" t="s">
        <v>84</v>
      </c>
      <c r="C70" s="87">
        <v>160000</v>
      </c>
    </row>
    <row r="71" spans="1:3" x14ac:dyDescent="0.25">
      <c r="A71" s="154">
        <v>46031</v>
      </c>
      <c r="B71" s="1" t="s">
        <v>84</v>
      </c>
      <c r="C71" s="87">
        <v>725000</v>
      </c>
    </row>
    <row r="72" spans="1:3" x14ac:dyDescent="0.25">
      <c r="A72" s="154">
        <v>46038</v>
      </c>
      <c r="B72" s="1" t="s">
        <v>84</v>
      </c>
      <c r="C72" s="87">
        <v>300000</v>
      </c>
    </row>
    <row r="73" spans="1:3" x14ac:dyDescent="0.25">
      <c r="A73" s="154">
        <v>46038</v>
      </c>
      <c r="B73" s="1" t="s">
        <v>84</v>
      </c>
      <c r="C73" s="87">
        <v>178000</v>
      </c>
    </row>
    <row r="74" spans="1:3" x14ac:dyDescent="0.25">
      <c r="A74" s="154">
        <v>46038</v>
      </c>
      <c r="B74" s="1" t="s">
        <v>84</v>
      </c>
      <c r="C74" s="87">
        <v>250000</v>
      </c>
    </row>
    <row r="75" spans="1:3" x14ac:dyDescent="0.25">
      <c r="A75" s="154">
        <v>46038</v>
      </c>
      <c r="B75" s="1" t="s">
        <v>84</v>
      </c>
      <c r="C75" s="87">
        <v>280048</v>
      </c>
    </row>
    <row r="76" spans="1:3" x14ac:dyDescent="0.25">
      <c r="A76" s="154">
        <v>46038</v>
      </c>
      <c r="B76" s="1" t="s">
        <v>84</v>
      </c>
      <c r="C76" s="87">
        <v>180000</v>
      </c>
    </row>
    <row r="77" spans="1:3" x14ac:dyDescent="0.25">
      <c r="A77" s="154">
        <v>46038</v>
      </c>
      <c r="B77" s="1" t="s">
        <v>84</v>
      </c>
      <c r="C77" s="87">
        <v>220000</v>
      </c>
    </row>
    <row r="78" spans="1:3" x14ac:dyDescent="0.25">
      <c r="A78" s="154">
        <v>46038</v>
      </c>
      <c r="B78" s="1" t="s">
        <v>84</v>
      </c>
      <c r="C78" s="87">
        <v>308000</v>
      </c>
    </row>
    <row r="79" spans="1:3" x14ac:dyDescent="0.25">
      <c r="A79" s="154">
        <v>46045</v>
      </c>
      <c r="B79" s="1" t="s">
        <v>84</v>
      </c>
      <c r="C79" s="87">
        <v>300000.21999999997</v>
      </c>
    </row>
    <row r="80" spans="1:3" x14ac:dyDescent="0.25">
      <c r="A80" s="154">
        <v>46045</v>
      </c>
      <c r="B80" s="1" t="s">
        <v>84</v>
      </c>
      <c r="C80" s="87">
        <v>280000</v>
      </c>
    </row>
    <row r="81" spans="1:3" x14ac:dyDescent="0.25">
      <c r="A81" s="154">
        <v>46045</v>
      </c>
      <c r="B81" s="1" t="s">
        <v>84</v>
      </c>
      <c r="C81" s="87">
        <v>202000</v>
      </c>
    </row>
    <row r="82" spans="1:3" x14ac:dyDescent="0.25">
      <c r="A82" s="154">
        <v>46045</v>
      </c>
      <c r="B82" s="1" t="s">
        <v>84</v>
      </c>
      <c r="C82" s="87">
        <v>649990</v>
      </c>
    </row>
    <row r="83" spans="1:3" x14ac:dyDescent="0.25">
      <c r="A83" s="154">
        <v>46045</v>
      </c>
      <c r="B83" s="1" t="s">
        <v>84</v>
      </c>
      <c r="C83" s="87">
        <v>330000</v>
      </c>
    </row>
    <row r="84" spans="1:3" x14ac:dyDescent="0.25">
      <c r="A84" s="154">
        <v>46045</v>
      </c>
      <c r="B84" s="1" t="s">
        <v>84</v>
      </c>
      <c r="C84" s="87">
        <v>250000</v>
      </c>
    </row>
    <row r="85" spans="1:3" x14ac:dyDescent="0.25">
      <c r="A85" s="154">
        <v>46045</v>
      </c>
      <c r="B85" s="1" t="s">
        <v>84</v>
      </c>
      <c r="C85" s="87">
        <v>270000</v>
      </c>
    </row>
    <row r="86" spans="1:3" x14ac:dyDescent="0.25">
      <c r="A86" s="154">
        <v>46045</v>
      </c>
      <c r="B86" s="1" t="s">
        <v>84</v>
      </c>
      <c r="C86" s="87">
        <v>200000</v>
      </c>
    </row>
    <row r="87" spans="1:3" x14ac:dyDescent="0.25">
      <c r="A87" s="154">
        <v>46045</v>
      </c>
      <c r="B87" s="1" t="s">
        <v>84</v>
      </c>
      <c r="C87" s="87">
        <v>425000</v>
      </c>
    </row>
    <row r="88" spans="1:3" x14ac:dyDescent="0.25">
      <c r="A88" s="154">
        <v>46052</v>
      </c>
      <c r="B88" s="1" t="s">
        <v>84</v>
      </c>
      <c r="C88" s="87">
        <v>429938</v>
      </c>
    </row>
    <row r="89" spans="1:3" x14ac:dyDescent="0.25">
      <c r="A89" s="154">
        <v>46052</v>
      </c>
      <c r="B89" s="1" t="s">
        <v>84</v>
      </c>
      <c r="C89" s="87">
        <v>189000</v>
      </c>
    </row>
    <row r="90" spans="1:3" x14ac:dyDescent="0.25">
      <c r="A90" s="154">
        <v>46052</v>
      </c>
      <c r="B90" s="1" t="s">
        <v>84</v>
      </c>
      <c r="C90" s="87">
        <v>350000</v>
      </c>
    </row>
    <row r="91" spans="1:3" x14ac:dyDescent="0.25">
      <c r="A91" s="154">
        <v>46052</v>
      </c>
      <c r="B91" s="1" t="s">
        <v>84</v>
      </c>
      <c r="C91" s="87">
        <v>840000</v>
      </c>
    </row>
    <row r="92" spans="1:3" x14ac:dyDescent="0.25">
      <c r="A92" s="154">
        <v>46052</v>
      </c>
      <c r="B92" s="1" t="s">
        <v>84</v>
      </c>
      <c r="C92" s="87">
        <v>290000</v>
      </c>
    </row>
    <row r="93" spans="1:3" x14ac:dyDescent="0.25">
      <c r="A93" s="154">
        <v>46052</v>
      </c>
      <c r="B93" s="1" t="s">
        <v>84</v>
      </c>
      <c r="C93" s="87">
        <v>200000</v>
      </c>
    </row>
    <row r="94" spans="1:3" x14ac:dyDescent="0.25">
      <c r="A94" s="154">
        <v>46052</v>
      </c>
      <c r="B94" s="1" t="s">
        <v>84</v>
      </c>
      <c r="C94" s="87">
        <v>499744</v>
      </c>
    </row>
    <row r="95" spans="1:3" x14ac:dyDescent="0.25">
      <c r="A95" s="154">
        <v>46059</v>
      </c>
      <c r="B95" s="1" t="s">
        <v>84</v>
      </c>
      <c r="C95" s="87">
        <v>300000</v>
      </c>
    </row>
    <row r="96" spans="1:3" x14ac:dyDescent="0.25">
      <c r="A96" s="154">
        <v>46059</v>
      </c>
      <c r="B96" s="1" t="s">
        <v>84</v>
      </c>
      <c r="C96" s="87">
        <v>189000</v>
      </c>
    </row>
    <row r="97" spans="1:3" x14ac:dyDescent="0.25">
      <c r="A97" s="154">
        <v>46059</v>
      </c>
      <c r="B97" s="1" t="s">
        <v>84</v>
      </c>
      <c r="C97" s="87">
        <v>746483</v>
      </c>
    </row>
    <row r="98" spans="1:3" x14ac:dyDescent="0.25">
      <c r="A98" s="154">
        <v>46059</v>
      </c>
      <c r="B98" s="1" t="s">
        <v>84</v>
      </c>
      <c r="C98" s="87">
        <v>330000</v>
      </c>
    </row>
    <row r="99" spans="1:3" x14ac:dyDescent="0.25">
      <c r="A99" s="154">
        <v>46059</v>
      </c>
      <c r="B99" s="1" t="s">
        <v>84</v>
      </c>
      <c r="C99" s="87">
        <v>340000</v>
      </c>
    </row>
    <row r="100" spans="1:3" x14ac:dyDescent="0.25">
      <c r="A100" s="154">
        <v>46059</v>
      </c>
      <c r="B100" s="1" t="s">
        <v>84</v>
      </c>
      <c r="C100" s="87">
        <v>180000</v>
      </c>
    </row>
    <row r="101" spans="1:3" x14ac:dyDescent="0.25">
      <c r="A101" s="154">
        <v>46059</v>
      </c>
      <c r="B101" s="1" t="s">
        <v>84</v>
      </c>
      <c r="C101" s="87">
        <v>160000</v>
      </c>
    </row>
    <row r="102" spans="1:3" x14ac:dyDescent="0.25">
      <c r="A102" s="154">
        <v>46059</v>
      </c>
      <c r="B102" s="1" t="s">
        <v>84</v>
      </c>
      <c r="C102" s="87">
        <v>750000</v>
      </c>
    </row>
    <row r="103" spans="1:3" x14ac:dyDescent="0.25">
      <c r="A103" s="154">
        <v>46066</v>
      </c>
      <c r="B103" s="1" t="s">
        <v>84</v>
      </c>
      <c r="C103" s="87">
        <v>300000</v>
      </c>
    </row>
    <row r="104" spans="1:3" x14ac:dyDescent="0.25">
      <c r="A104" s="154">
        <v>46066</v>
      </c>
      <c r="B104" s="1" t="s">
        <v>84</v>
      </c>
      <c r="C104" s="87">
        <v>262000</v>
      </c>
    </row>
    <row r="105" spans="1:3" x14ac:dyDescent="0.25">
      <c r="A105" s="154">
        <v>46066</v>
      </c>
      <c r="B105" s="1" t="s">
        <v>84</v>
      </c>
      <c r="C105" s="87">
        <v>290000</v>
      </c>
    </row>
    <row r="106" spans="1:3" x14ac:dyDescent="0.25">
      <c r="A106" s="154">
        <v>46066</v>
      </c>
      <c r="B106" s="1" t="s">
        <v>84</v>
      </c>
      <c r="C106" s="87">
        <v>80000</v>
      </c>
    </row>
    <row r="107" spans="1:3" x14ac:dyDescent="0.25">
      <c r="A107" s="154">
        <v>46066</v>
      </c>
      <c r="B107" s="1" t="s">
        <v>84</v>
      </c>
      <c r="C107" s="87">
        <v>200000</v>
      </c>
    </row>
    <row r="108" spans="1:3" x14ac:dyDescent="0.25">
      <c r="A108" s="154">
        <v>46066</v>
      </c>
      <c r="B108" s="1" t="s">
        <v>84</v>
      </c>
      <c r="C108" s="87">
        <v>975000</v>
      </c>
    </row>
    <row r="109" spans="1:3" x14ac:dyDescent="0.25">
      <c r="A109" s="154">
        <v>46066</v>
      </c>
      <c r="B109" s="1" t="s">
        <v>84</v>
      </c>
      <c r="C109" s="87">
        <v>330000</v>
      </c>
    </row>
    <row r="110" spans="1:3" x14ac:dyDescent="0.25">
      <c r="A110" s="154">
        <v>46073</v>
      </c>
      <c r="B110" s="1" t="s">
        <v>84</v>
      </c>
      <c r="C110" s="87">
        <v>345000</v>
      </c>
    </row>
    <row r="111" spans="1:3" x14ac:dyDescent="0.25">
      <c r="A111" s="154">
        <v>46073</v>
      </c>
      <c r="B111" s="1" t="s">
        <v>84</v>
      </c>
      <c r="C111" s="87">
        <v>280000</v>
      </c>
    </row>
    <row r="112" spans="1:3" x14ac:dyDescent="0.25">
      <c r="A112" s="154">
        <v>46073</v>
      </c>
      <c r="B112" s="1" t="s">
        <v>84</v>
      </c>
      <c r="C112" s="87">
        <v>123000</v>
      </c>
    </row>
    <row r="113" spans="1:3" x14ac:dyDescent="0.25">
      <c r="A113" s="154">
        <v>46073</v>
      </c>
      <c r="B113" s="1" t="s">
        <v>84</v>
      </c>
      <c r="C113" s="87">
        <v>330000</v>
      </c>
    </row>
    <row r="114" spans="1:3" x14ac:dyDescent="0.25">
      <c r="A114" s="154">
        <v>46073</v>
      </c>
      <c r="B114" s="1" t="s">
        <v>84</v>
      </c>
      <c r="C114" s="87">
        <v>295000</v>
      </c>
    </row>
    <row r="115" spans="1:3" x14ac:dyDescent="0.25">
      <c r="A115" s="154">
        <v>46073</v>
      </c>
      <c r="B115" s="1" t="s">
        <v>84</v>
      </c>
      <c r="C115" s="87">
        <v>200000</v>
      </c>
    </row>
    <row r="116" spans="1:3" x14ac:dyDescent="0.25">
      <c r="A116" s="154">
        <v>46073</v>
      </c>
      <c r="B116" s="1" t="s">
        <v>84</v>
      </c>
      <c r="C116" s="87">
        <v>750000</v>
      </c>
    </row>
    <row r="117" spans="1:3" x14ac:dyDescent="0.25">
      <c r="A117" s="154">
        <v>46080</v>
      </c>
      <c r="B117" s="1" t="s">
        <v>84</v>
      </c>
      <c r="C117" s="87">
        <v>344999.91</v>
      </c>
    </row>
    <row r="118" spans="1:3" x14ac:dyDescent="0.25">
      <c r="A118" s="154">
        <v>46080</v>
      </c>
      <c r="B118" s="1" t="s">
        <v>84</v>
      </c>
      <c r="C118" s="87">
        <v>196000</v>
      </c>
    </row>
    <row r="119" spans="1:3" x14ac:dyDescent="0.25">
      <c r="A119" s="154">
        <v>46080</v>
      </c>
      <c r="B119" s="1" t="s">
        <v>84</v>
      </c>
      <c r="C119" s="87">
        <v>291927</v>
      </c>
    </row>
    <row r="120" spans="1:3" x14ac:dyDescent="0.25">
      <c r="A120" s="154">
        <v>46080</v>
      </c>
      <c r="B120" s="1" t="s">
        <v>84</v>
      </c>
      <c r="C120" s="87">
        <v>280000</v>
      </c>
    </row>
    <row r="121" spans="1:3" x14ac:dyDescent="0.25">
      <c r="A121" s="154">
        <v>46080</v>
      </c>
      <c r="B121" s="1" t="s">
        <v>84</v>
      </c>
      <c r="C121" s="87">
        <v>180000</v>
      </c>
    </row>
    <row r="122" spans="1:3" x14ac:dyDescent="0.25">
      <c r="A122" s="154">
        <v>46080</v>
      </c>
      <c r="B122" s="1" t="s">
        <v>84</v>
      </c>
      <c r="C122" s="87">
        <v>200000</v>
      </c>
    </row>
    <row r="123" spans="1:3" x14ac:dyDescent="0.25">
      <c r="A123" s="154">
        <v>46080</v>
      </c>
      <c r="B123" s="1" t="s">
        <v>84</v>
      </c>
      <c r="C123" s="87">
        <v>369188</v>
      </c>
    </row>
    <row r="124" spans="1:3" x14ac:dyDescent="0.25">
      <c r="A124" s="154">
        <v>46087</v>
      </c>
      <c r="B124" s="1" t="s">
        <v>84</v>
      </c>
      <c r="C124" s="87">
        <v>359016</v>
      </c>
    </row>
    <row r="125" spans="1:3" x14ac:dyDescent="0.25">
      <c r="A125" s="154">
        <v>46087</v>
      </c>
      <c r="B125" s="1" t="s">
        <v>84</v>
      </c>
      <c r="C125" s="87">
        <v>280000</v>
      </c>
    </row>
    <row r="126" spans="1:3" x14ac:dyDescent="0.25">
      <c r="A126" s="154">
        <v>46087</v>
      </c>
      <c r="B126" s="1" t="s">
        <v>84</v>
      </c>
      <c r="C126" s="87">
        <v>219000</v>
      </c>
    </row>
    <row r="127" spans="1:3" x14ac:dyDescent="0.25">
      <c r="A127" s="154">
        <v>46087</v>
      </c>
      <c r="B127" s="1" t="s">
        <v>84</v>
      </c>
      <c r="C127" s="87">
        <v>402209</v>
      </c>
    </row>
    <row r="128" spans="1:3" x14ac:dyDescent="0.25">
      <c r="A128" s="154">
        <v>46087</v>
      </c>
      <c r="B128" s="1" t="s">
        <v>84</v>
      </c>
      <c r="C128" s="87">
        <v>343406</v>
      </c>
    </row>
    <row r="129" spans="1:3" x14ac:dyDescent="0.25">
      <c r="A129" s="154">
        <v>46087</v>
      </c>
      <c r="B129" s="1" t="s">
        <v>84</v>
      </c>
      <c r="C129" s="87">
        <v>311225</v>
      </c>
    </row>
    <row r="130" spans="1:3" x14ac:dyDescent="0.25">
      <c r="A130" s="154">
        <v>46087</v>
      </c>
      <c r="B130" s="1" t="s">
        <v>84</v>
      </c>
      <c r="C130" s="87">
        <v>180000</v>
      </c>
    </row>
    <row r="131" spans="1:3" x14ac:dyDescent="0.25">
      <c r="A131" s="154">
        <v>46087</v>
      </c>
      <c r="B131" s="1" t="s">
        <v>84</v>
      </c>
      <c r="C131" s="87">
        <v>200000</v>
      </c>
    </row>
    <row r="132" spans="1:3" x14ac:dyDescent="0.25">
      <c r="A132" s="154">
        <v>46087</v>
      </c>
      <c r="B132" s="1" t="s">
        <v>84</v>
      </c>
      <c r="C132" s="87">
        <v>750000</v>
      </c>
    </row>
    <row r="133" spans="1:3" x14ac:dyDescent="0.25">
      <c r="A133" s="154">
        <v>46094</v>
      </c>
      <c r="B133" s="1" t="s">
        <v>84</v>
      </c>
      <c r="C133" s="87">
        <v>383829.61</v>
      </c>
    </row>
    <row r="134" spans="1:3" x14ac:dyDescent="0.25">
      <c r="A134" s="154">
        <v>46094</v>
      </c>
      <c r="B134" s="1" t="s">
        <v>84</v>
      </c>
      <c r="C134" s="87">
        <v>235000</v>
      </c>
    </row>
    <row r="135" spans="1:3" x14ac:dyDescent="0.25">
      <c r="A135" s="154">
        <v>46094</v>
      </c>
      <c r="B135" s="1" t="s">
        <v>84</v>
      </c>
      <c r="C135" s="87">
        <v>297500</v>
      </c>
    </row>
    <row r="136" spans="1:3" x14ac:dyDescent="0.25">
      <c r="A136" s="154">
        <v>46094</v>
      </c>
      <c r="B136" s="1" t="s">
        <v>84</v>
      </c>
      <c r="C136" s="87">
        <v>250000</v>
      </c>
    </row>
    <row r="137" spans="1:3" x14ac:dyDescent="0.25">
      <c r="A137" s="154">
        <v>46094</v>
      </c>
      <c r="B137" s="1" t="s">
        <v>84</v>
      </c>
      <c r="C137" s="87">
        <v>270000</v>
      </c>
    </row>
    <row r="138" spans="1:3" x14ac:dyDescent="0.25">
      <c r="A138" s="154">
        <v>46094</v>
      </c>
      <c r="B138" s="1" t="s">
        <v>84</v>
      </c>
      <c r="C138" s="87">
        <v>200000</v>
      </c>
    </row>
    <row r="139" spans="1:3" x14ac:dyDescent="0.25">
      <c r="A139" s="154">
        <v>46094</v>
      </c>
      <c r="B139" s="1" t="s">
        <v>84</v>
      </c>
      <c r="C139" s="87">
        <v>200000</v>
      </c>
    </row>
    <row r="140" spans="1:3" x14ac:dyDescent="0.25">
      <c r="A140" s="154">
        <v>46094</v>
      </c>
      <c r="B140" s="1" t="s">
        <v>84</v>
      </c>
      <c r="C140" s="87">
        <v>427063</v>
      </c>
    </row>
    <row r="141" spans="1:3" x14ac:dyDescent="0.25">
      <c r="A141" s="154">
        <v>46101</v>
      </c>
      <c r="B141" s="1" t="s">
        <v>84</v>
      </c>
      <c r="C141" s="87">
        <v>397181</v>
      </c>
    </row>
    <row r="142" spans="1:3" x14ac:dyDescent="0.25">
      <c r="A142" s="154">
        <v>46101</v>
      </c>
      <c r="B142" s="1" t="s">
        <v>84</v>
      </c>
      <c r="C142" s="87">
        <v>280000</v>
      </c>
    </row>
    <row r="143" spans="1:3" x14ac:dyDescent="0.25">
      <c r="A143" s="154">
        <v>46101</v>
      </c>
      <c r="B143" s="1" t="s">
        <v>84</v>
      </c>
      <c r="C143" s="87">
        <v>241000</v>
      </c>
    </row>
    <row r="144" spans="1:3" x14ac:dyDescent="0.25">
      <c r="A144" s="154">
        <v>46101</v>
      </c>
      <c r="B144" s="1" t="s">
        <v>84</v>
      </c>
      <c r="C144" s="87">
        <v>761632</v>
      </c>
    </row>
    <row r="145" spans="1:3" x14ac:dyDescent="0.25">
      <c r="A145" s="154">
        <v>46101</v>
      </c>
      <c r="B145" s="1" t="s">
        <v>84</v>
      </c>
      <c r="C145" s="87">
        <v>442500</v>
      </c>
    </row>
    <row r="146" spans="1:3" x14ac:dyDescent="0.25">
      <c r="A146" s="154">
        <v>46101</v>
      </c>
      <c r="B146" s="1" t="s">
        <v>84</v>
      </c>
      <c r="C146" s="87">
        <v>300000</v>
      </c>
    </row>
    <row r="147" spans="1:3" x14ac:dyDescent="0.25">
      <c r="A147" s="154">
        <v>46101</v>
      </c>
      <c r="B147" s="1" t="s">
        <v>84</v>
      </c>
      <c r="C147" s="87">
        <v>270000</v>
      </c>
    </row>
    <row r="148" spans="1:3" x14ac:dyDescent="0.25">
      <c r="A148" s="154">
        <v>46101</v>
      </c>
      <c r="B148" s="1" t="s">
        <v>84</v>
      </c>
      <c r="C148" s="87">
        <v>160000</v>
      </c>
    </row>
    <row r="149" spans="1:3" x14ac:dyDescent="0.25">
      <c r="A149" s="154">
        <v>46101</v>
      </c>
      <c r="B149" s="1" t="s">
        <v>84</v>
      </c>
      <c r="C149" s="87">
        <v>550000</v>
      </c>
    </row>
    <row r="150" spans="1:3" x14ac:dyDescent="0.25">
      <c r="A150" s="154">
        <v>46108</v>
      </c>
      <c r="B150" s="1" t="s">
        <v>84</v>
      </c>
      <c r="C150" s="87">
        <v>370875</v>
      </c>
    </row>
    <row r="151" spans="1:3" x14ac:dyDescent="0.25">
      <c r="A151" s="154">
        <v>46108</v>
      </c>
      <c r="B151" s="1" t="s">
        <v>84</v>
      </c>
      <c r="C151" s="87">
        <v>200000</v>
      </c>
    </row>
    <row r="152" spans="1:3" x14ac:dyDescent="0.25">
      <c r="A152" s="154">
        <v>46108</v>
      </c>
      <c r="B152" s="1" t="s">
        <v>84</v>
      </c>
      <c r="C152" s="87">
        <v>296190</v>
      </c>
    </row>
    <row r="153" spans="1:3" x14ac:dyDescent="0.25">
      <c r="A153" s="154">
        <v>46108</v>
      </c>
      <c r="B153" s="1" t="s">
        <v>84</v>
      </c>
      <c r="C153" s="87">
        <v>280000</v>
      </c>
    </row>
    <row r="154" spans="1:3" x14ac:dyDescent="0.25">
      <c r="A154" s="154">
        <v>46108</v>
      </c>
      <c r="B154" s="1" t="s">
        <v>84</v>
      </c>
      <c r="C154" s="87">
        <v>270000</v>
      </c>
    </row>
    <row r="155" spans="1:3" x14ac:dyDescent="0.25">
      <c r="A155" s="154">
        <v>46108</v>
      </c>
      <c r="B155" s="1" t="s">
        <v>84</v>
      </c>
      <c r="C155" s="87">
        <v>160000</v>
      </c>
    </row>
    <row r="156" spans="1:3" x14ac:dyDescent="0.25">
      <c r="A156" s="154">
        <v>46108</v>
      </c>
      <c r="B156" s="1" t="s">
        <v>84</v>
      </c>
      <c r="C156" s="87">
        <v>354750</v>
      </c>
    </row>
    <row r="157" spans="1:3" x14ac:dyDescent="0.25">
      <c r="A157" s="154">
        <v>46113</v>
      </c>
      <c r="B157" s="1" t="s">
        <v>84</v>
      </c>
      <c r="C157" s="87">
        <v>384350</v>
      </c>
    </row>
    <row r="158" spans="1:3" x14ac:dyDescent="0.25">
      <c r="A158" s="154">
        <v>46113</v>
      </c>
      <c r="B158" s="1" t="s">
        <v>84</v>
      </c>
      <c r="C158" s="87">
        <v>280000</v>
      </c>
    </row>
    <row r="159" spans="1:3" x14ac:dyDescent="0.25">
      <c r="A159" s="154">
        <v>46113</v>
      </c>
      <c r="B159" s="1" t="s">
        <v>84</v>
      </c>
      <c r="C159" s="87">
        <v>207500</v>
      </c>
    </row>
    <row r="160" spans="1:3" x14ac:dyDescent="0.25">
      <c r="A160" s="154">
        <v>46113</v>
      </c>
      <c r="B160" s="1" t="s">
        <v>84</v>
      </c>
      <c r="C160" s="87">
        <v>780000</v>
      </c>
    </row>
    <row r="161" spans="1:3" x14ac:dyDescent="0.25">
      <c r="A161" s="154">
        <v>46113</v>
      </c>
      <c r="B161" s="1" t="s">
        <v>84</v>
      </c>
      <c r="C161" s="87">
        <v>355000</v>
      </c>
    </row>
    <row r="162" spans="1:3" x14ac:dyDescent="0.25">
      <c r="A162" s="154">
        <v>46113</v>
      </c>
      <c r="B162" s="1" t="s">
        <v>84</v>
      </c>
      <c r="C162" s="87">
        <v>295000</v>
      </c>
    </row>
    <row r="163" spans="1:3" x14ac:dyDescent="0.25">
      <c r="A163" s="154">
        <v>46113</v>
      </c>
      <c r="B163" s="1" t="s">
        <v>84</v>
      </c>
      <c r="C163" s="87">
        <v>90000</v>
      </c>
    </row>
    <row r="164" spans="1:3" x14ac:dyDescent="0.25">
      <c r="A164" s="154">
        <v>46113</v>
      </c>
      <c r="B164" s="1" t="s">
        <v>84</v>
      </c>
      <c r="C164" s="87">
        <v>120000</v>
      </c>
    </row>
    <row r="165" spans="1:3" x14ac:dyDescent="0.25">
      <c r="A165" s="154">
        <v>46113</v>
      </c>
      <c r="B165" s="1" t="s">
        <v>84</v>
      </c>
      <c r="C165" s="87">
        <v>750000</v>
      </c>
    </row>
    <row r="166" spans="1:3" x14ac:dyDescent="0.25">
      <c r="A166" s="154">
        <v>46122</v>
      </c>
      <c r="B166" s="1" t="s">
        <v>84</v>
      </c>
      <c r="C166" s="87">
        <v>345000</v>
      </c>
    </row>
    <row r="167" spans="1:3" x14ac:dyDescent="0.25">
      <c r="A167" s="154">
        <v>46122</v>
      </c>
      <c r="B167" s="1" t="s">
        <v>84</v>
      </c>
      <c r="C167" s="87">
        <v>200000</v>
      </c>
    </row>
    <row r="168" spans="1:3" x14ac:dyDescent="0.25">
      <c r="A168" s="154">
        <v>46122</v>
      </c>
      <c r="B168" s="1" t="s">
        <v>84</v>
      </c>
      <c r="C168" s="87">
        <v>295000</v>
      </c>
    </row>
    <row r="169" spans="1:3" x14ac:dyDescent="0.25">
      <c r="A169" s="154">
        <v>46122</v>
      </c>
      <c r="B169" s="1" t="s">
        <v>84</v>
      </c>
      <c r="C169" s="87">
        <v>280000</v>
      </c>
    </row>
    <row r="170" spans="1:3" x14ac:dyDescent="0.25">
      <c r="A170" s="154">
        <v>46122</v>
      </c>
      <c r="B170" s="1" t="s">
        <v>84</v>
      </c>
      <c r="C170" s="87">
        <v>90000</v>
      </c>
    </row>
    <row r="171" spans="1:3" x14ac:dyDescent="0.25">
      <c r="A171" s="154">
        <v>46122</v>
      </c>
      <c r="B171" s="1" t="s">
        <v>84</v>
      </c>
      <c r="C171" s="87">
        <v>200000</v>
      </c>
    </row>
    <row r="172" spans="1:3" x14ac:dyDescent="0.25">
      <c r="A172" s="154">
        <v>46122</v>
      </c>
      <c r="B172" s="1" t="s">
        <v>84</v>
      </c>
      <c r="C172" s="87">
        <v>330000</v>
      </c>
    </row>
    <row r="173" spans="1:3" x14ac:dyDescent="0.25">
      <c r="A173" s="154">
        <v>46129</v>
      </c>
      <c r="B173" s="1" t="s">
        <v>84</v>
      </c>
      <c r="C173" s="87">
        <v>399334</v>
      </c>
    </row>
    <row r="174" spans="1:3" x14ac:dyDescent="0.25">
      <c r="A174" s="154">
        <v>46129</v>
      </c>
      <c r="B174" s="1" t="s">
        <v>84</v>
      </c>
      <c r="C174" s="87">
        <v>280000</v>
      </c>
    </row>
    <row r="175" spans="1:3" x14ac:dyDescent="0.25">
      <c r="A175" s="154">
        <v>46129</v>
      </c>
      <c r="B175" s="1" t="s">
        <v>84</v>
      </c>
      <c r="C175" s="87">
        <v>259912</v>
      </c>
    </row>
    <row r="176" spans="1:3" x14ac:dyDescent="0.25">
      <c r="A176" s="154">
        <v>46129</v>
      </c>
      <c r="B176" s="1" t="s">
        <v>84</v>
      </c>
      <c r="C176" s="87">
        <v>715000</v>
      </c>
    </row>
    <row r="177" spans="1:3" x14ac:dyDescent="0.25">
      <c r="A177" s="154">
        <v>46129</v>
      </c>
      <c r="B177" s="1" t="s">
        <v>84</v>
      </c>
      <c r="C177" s="87">
        <v>389219</v>
      </c>
    </row>
    <row r="178" spans="1:3" x14ac:dyDescent="0.25">
      <c r="A178" s="154">
        <v>46129</v>
      </c>
      <c r="B178" s="1" t="s">
        <v>84</v>
      </c>
      <c r="C178" s="87">
        <v>295000</v>
      </c>
    </row>
    <row r="179" spans="1:3" x14ac:dyDescent="0.25">
      <c r="A179" s="154">
        <v>46129</v>
      </c>
      <c r="B179" s="1" t="s">
        <v>84</v>
      </c>
      <c r="C179" s="87">
        <v>180000</v>
      </c>
    </row>
    <row r="180" spans="1:3" x14ac:dyDescent="0.25">
      <c r="A180" s="154">
        <v>46129</v>
      </c>
      <c r="B180" s="1" t="s">
        <v>84</v>
      </c>
      <c r="C180" s="87">
        <v>200000</v>
      </c>
    </row>
    <row r="181" spans="1:3" x14ac:dyDescent="0.25">
      <c r="A181" s="154">
        <v>46129</v>
      </c>
      <c r="B181" s="1" t="s">
        <v>84</v>
      </c>
      <c r="C181" s="87">
        <v>750000</v>
      </c>
    </row>
    <row r="182" spans="1:3" x14ac:dyDescent="0.25">
      <c r="A182" s="154">
        <v>46136</v>
      </c>
      <c r="B182" s="1" t="s">
        <v>84</v>
      </c>
      <c r="C182" s="87">
        <v>482000</v>
      </c>
    </row>
    <row r="183" spans="1:3" x14ac:dyDescent="0.25">
      <c r="A183" s="154">
        <v>46136</v>
      </c>
      <c r="B183" s="1" t="s">
        <v>84</v>
      </c>
      <c r="C183" s="87">
        <v>188000</v>
      </c>
    </row>
    <row r="184" spans="1:3" x14ac:dyDescent="0.25">
      <c r="A184" s="154">
        <v>46136</v>
      </c>
      <c r="B184" s="1" t="s">
        <v>84</v>
      </c>
      <c r="C184" s="87">
        <v>295000</v>
      </c>
    </row>
    <row r="185" spans="1:3" x14ac:dyDescent="0.25">
      <c r="A185" s="154">
        <v>46136</v>
      </c>
      <c r="B185" s="1" t="s">
        <v>84</v>
      </c>
      <c r="C185" s="87">
        <v>280000</v>
      </c>
    </row>
    <row r="186" spans="1:3" x14ac:dyDescent="0.25">
      <c r="A186" s="154">
        <v>46136</v>
      </c>
      <c r="B186" s="1" t="s">
        <v>84</v>
      </c>
      <c r="C186" s="87">
        <v>270000</v>
      </c>
    </row>
    <row r="187" spans="1:3" x14ac:dyDescent="0.25">
      <c r="A187" s="154">
        <v>46136</v>
      </c>
      <c r="B187" s="1" t="s">
        <v>84</v>
      </c>
      <c r="C187" s="87">
        <v>200000</v>
      </c>
    </row>
    <row r="188" spans="1:3" x14ac:dyDescent="0.25">
      <c r="A188" s="154">
        <v>46136</v>
      </c>
      <c r="B188" s="1" t="s">
        <v>84</v>
      </c>
      <c r="C188" s="87">
        <v>457000</v>
      </c>
    </row>
    <row r="189" spans="1:3" x14ac:dyDescent="0.25">
      <c r="A189" s="154">
        <v>46143</v>
      </c>
      <c r="B189" s="1" t="s">
        <v>84</v>
      </c>
      <c r="C189" s="87">
        <v>345133</v>
      </c>
    </row>
    <row r="190" spans="1:3" x14ac:dyDescent="0.25">
      <c r="A190" s="154">
        <v>46143</v>
      </c>
      <c r="B190" s="1" t="s">
        <v>84</v>
      </c>
      <c r="C190" s="87">
        <v>280000</v>
      </c>
    </row>
    <row r="191" spans="1:3" x14ac:dyDescent="0.25">
      <c r="A191" s="154">
        <v>46143</v>
      </c>
      <c r="B191" s="1" t="s">
        <v>84</v>
      </c>
      <c r="C191" s="87">
        <v>204000</v>
      </c>
    </row>
    <row r="192" spans="1:3" x14ac:dyDescent="0.25">
      <c r="A192" s="154">
        <v>46143</v>
      </c>
      <c r="B192" s="1" t="s">
        <v>84</v>
      </c>
      <c r="C192" s="87">
        <v>770000</v>
      </c>
    </row>
    <row r="193" spans="1:3" x14ac:dyDescent="0.25">
      <c r="A193" s="154">
        <v>46143</v>
      </c>
      <c r="B193" s="1" t="s">
        <v>84</v>
      </c>
      <c r="C193" s="87">
        <v>330000</v>
      </c>
    </row>
    <row r="194" spans="1:3" x14ac:dyDescent="0.25">
      <c r="A194" s="154">
        <v>46143</v>
      </c>
      <c r="B194" s="1" t="s">
        <v>84</v>
      </c>
      <c r="C194" s="87">
        <v>295000</v>
      </c>
    </row>
    <row r="195" spans="1:3" x14ac:dyDescent="0.25">
      <c r="A195" s="154">
        <v>46143</v>
      </c>
      <c r="B195" s="1" t="s">
        <v>84</v>
      </c>
      <c r="C195" s="87">
        <v>270000</v>
      </c>
    </row>
    <row r="196" spans="1:3" x14ac:dyDescent="0.25">
      <c r="A196" s="154">
        <v>46143</v>
      </c>
      <c r="B196" s="1" t="s">
        <v>84</v>
      </c>
      <c r="C196" s="87">
        <v>160000</v>
      </c>
    </row>
    <row r="197" spans="1:3" x14ac:dyDescent="0.25">
      <c r="A197" s="154">
        <v>46143</v>
      </c>
      <c r="B197" s="1" t="s">
        <v>84</v>
      </c>
      <c r="C197" s="87">
        <v>750291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Props1.xml><?xml version="1.0" encoding="utf-8"?>
<ds:datastoreItem xmlns:ds="http://schemas.openxmlformats.org/officeDocument/2006/customXml" ds:itemID="{C2CBB6C6-D6F4-4469-A928-1A89B20D21E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B99148B-2A00-478D-BF79-9CAD59BBC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20EE65-BA2C-4918-9D76-266A7826B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3B3F57-71D7-45C8-BC88-68BA4B8D86B2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d07e69a6-4c47-4689-8a4b-b6455870e7f8"/>
    <ds:schemaRef ds:uri="3fb66916-e76c-4d03-ae05-5e8b00f44c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GFijos</vt:lpstr>
      <vt:lpstr>Gastos Reales</vt:lpstr>
      <vt:lpstr>GASTOSFIJOS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Gordillo</dc:creator>
  <cp:lastModifiedBy>Maximiliano Gordillo</cp:lastModifiedBy>
  <cp:lastPrinted>2026-03-28T15:00:34Z</cp:lastPrinted>
  <dcterms:created xsi:type="dcterms:W3CDTF">2025-09-29T11:48:04Z</dcterms:created>
  <dcterms:modified xsi:type="dcterms:W3CDTF">2026-05-04T21:53:16Z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