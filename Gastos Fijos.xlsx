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2985" documentId="13_ncr:1_{F39443B0-11EE-4A85-84B8-BCF3678BA4E9}" xr6:coauthVersionLast="47" xr6:coauthVersionMax="47" xr10:uidLastSave="{A588B2F3-7473-4D41-95EE-F7A0F9B82AEE}"/>
  <bookViews>
    <workbookView xWindow="-98" yWindow="-98" windowWidth="28996" windowHeight="15675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SUEL!$A$2:$C$188</definedName>
    <definedName name="DatosExternos_2" localSheetId="1" hidden="1">'Gastos Reales'!$E$2:$I$157</definedName>
    <definedName name="DatosExternos_3" localSheetId="2" hidden="1">SUEL!$E$2:$E$27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42" i="2" l="1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K74" i="1" l="1"/>
  <c r="K70" i="1"/>
  <c r="I76" i="1" l="1"/>
  <c r="I72" i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55" i="1" a="1"/>
  <c r="HF255" i="1" s="1"/>
  <c r="HF254" i="1" a="1"/>
  <c r="HF254" i="1" s="1"/>
  <c r="HF253" i="1" a="1"/>
  <c r="HF253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Q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66" i="1" a="1"/>
  <c r="HF157" i="1" a="1"/>
  <c r="HF308" i="1" a="1"/>
  <c r="HF196" i="1" a="1"/>
  <c r="HF234" i="1" a="1"/>
  <c r="HF116" i="1" a="1"/>
  <c r="HF79" i="1" a="1"/>
  <c r="HF39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18" i="1" a="1"/>
  <c r="HF26" i="1" a="1"/>
  <c r="HF153" i="1" a="1"/>
  <c r="HF231" i="1" a="1"/>
  <c r="HF31" i="1" a="1"/>
  <c r="HF304" i="1" a="1"/>
  <c r="HF56" i="1" a="1"/>
  <c r="HF38" i="1" a="1"/>
  <c r="HF10" i="1" a="1"/>
  <c r="HF32" i="1" a="1"/>
  <c r="HF233" i="1" a="1"/>
  <c r="HF114" i="1" a="1"/>
  <c r="HF33" i="1" a="1"/>
  <c r="HF78" i="1" a="1"/>
  <c r="HF29" i="1" a="1"/>
  <c r="HF13" i="1" a="1"/>
  <c r="HF229" i="1" a="1"/>
  <c r="HF9" i="1" a="1"/>
  <c r="HF192" i="1" a="1"/>
  <c r="HF197" i="1" a="1"/>
  <c r="HF12" i="1" a="1"/>
  <c r="HF194" i="1" a="1"/>
  <c r="HF115" i="1" a="1"/>
  <c r="HF195" i="1" a="1"/>
  <c r="HF155" i="1" a="1"/>
  <c r="HF307" i="1" a="1"/>
  <c r="HF4" i="1" a="1"/>
  <c r="HF27" i="1" a="1"/>
  <c r="HF25" i="1" a="1"/>
  <c r="HF15" i="1" a="1"/>
  <c r="HF34" i="1" a="1"/>
  <c r="HF8" i="1" a="1"/>
  <c r="HF21" i="1" a="1"/>
  <c r="HF22" i="1" a="1"/>
  <c r="HF305" i="1" a="1"/>
  <c r="HF37" i="1" a="1"/>
  <c r="HF235" i="1" a="1"/>
  <c r="HF267" i="1" a="1"/>
  <c r="HF6" i="1" a="1"/>
  <c r="HF191" i="1" a="1"/>
  <c r="HF77" i="1" a="1"/>
  <c r="HF232" i="1" a="1"/>
  <c r="HF20" i="1" a="1"/>
  <c r="HF193" i="1" a="1"/>
  <c r="HF190" i="1" a="1"/>
  <c r="HF35" i="1" a="1"/>
  <c r="HF36" i="1" a="1"/>
  <c r="HF16" i="1" a="1"/>
  <c r="HF30" i="1" a="1"/>
  <c r="HF117" i="1" a="1"/>
  <c r="HF28" i="1" a="1"/>
  <c r="HF7" i="1" a="1"/>
  <c r="HF24" i="1" a="1"/>
  <c r="HF11" i="1" a="1"/>
  <c r="HF154" i="1" a="1"/>
  <c r="HF152" i="1" a="1"/>
  <c r="HF14" i="1" a="1"/>
  <c r="HF228" i="1" a="1"/>
  <c r="HF17" i="1" a="1"/>
  <c r="HF5" i="1" a="1"/>
  <c r="HF23" i="1" a="1"/>
  <c r="HF230" i="1" a="1"/>
  <c r="HF156" i="1" a="1"/>
  <c r="HF19" i="1" a="1"/>
  <c r="HF306" i="1" a="1"/>
  <c r="HF158" i="1" a="1"/>
  <c r="HF80" i="1" a="1"/>
  <c r="HF309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0" i="1" a="1"/>
  <c r="HF41" i="1" a="1"/>
  <c r="HF52" i="1" a="1"/>
  <c r="HF55" i="1" a="1"/>
  <c r="HF46" i="1" a="1"/>
  <c r="HF47" i="1" a="1"/>
  <c r="HF54" i="1" a="1"/>
  <c r="HF81" i="1" a="1"/>
  <c r="HF159" i="1" a="1"/>
  <c r="HF310" i="1" a="1"/>
  <c r="HF58" i="1" a="1"/>
  <c r="HF43" i="1" a="1"/>
  <c r="HF42" i="1" a="1"/>
  <c r="HF51" i="1" a="1"/>
  <c r="HF44" i="1" a="1"/>
  <c r="HF53" i="1" a="1"/>
  <c r="HF236" i="1" a="1"/>
  <c r="HF45" i="1" a="1"/>
  <c r="HF48" i="1" a="1"/>
  <c r="HF49" i="1" a="1"/>
  <c r="HF118" i="1" a="1"/>
  <c r="HF268" i="1" a="1"/>
  <c r="HF19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269" i="1" a="1"/>
  <c r="HF57" i="1" a="1"/>
  <c r="HF59" i="1" a="1"/>
  <c r="HF311" i="1" a="1"/>
  <c r="HF160" i="1" a="1"/>
  <c r="HF199" i="1" a="1"/>
  <c r="HF119" i="1" a="1"/>
  <c r="HF82" i="1" a="1"/>
  <c r="HF237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60" i="1" a="1"/>
  <c r="HF312" i="1" a="1"/>
  <c r="HF270" i="1" a="1"/>
  <c r="HF238" i="1" a="1"/>
  <c r="HF161" i="1" a="1"/>
  <c r="HF120" i="1" a="1"/>
  <c r="HF200" i="1" a="1"/>
  <c r="HF83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61" i="1" a="1"/>
  <c r="HF84" i="1" a="1"/>
  <c r="HF162" i="1" a="1"/>
  <c r="HF271" i="1" a="1"/>
  <c r="HF313" i="1" a="1"/>
  <c r="HF201" i="1" a="1"/>
  <c r="HF121" i="1" a="1"/>
  <c r="HF239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85" i="1" a="1"/>
  <c r="HF202" i="1" a="1"/>
  <c r="HF163" i="1" a="1"/>
  <c r="HF272" i="1" a="1"/>
  <c r="HF240" i="1" a="1"/>
  <c r="HF122" i="1" a="1"/>
  <c r="HF314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273" i="1" a="1"/>
  <c r="HF123" i="1" a="1"/>
  <c r="HF164" i="1" a="1"/>
  <c r="HF203" i="1" a="1"/>
  <c r="HF241" i="1" a="1"/>
  <c r="HF315" i="1" a="1"/>
  <c r="HF86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64" i="1" a="1"/>
  <c r="HF124" i="1" a="1"/>
  <c r="HF274" i="1" a="1"/>
  <c r="HF87" i="1" a="1"/>
  <c r="HF316" i="1" a="1"/>
  <c r="HF242" i="1" a="1"/>
  <c r="HF204" i="1" a="1"/>
  <c r="HF165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243" i="1" a="1"/>
  <c r="HF65" i="1" a="1"/>
  <c r="HF88" i="1" a="1"/>
  <c r="HF125" i="1" a="1"/>
  <c r="HF166" i="1" a="1"/>
  <c r="HF205" i="1" a="1"/>
  <c r="HF317" i="1" a="1"/>
  <c r="HF275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276" i="1" a="1"/>
  <c r="HF244" i="1" a="1"/>
  <c r="HF89" i="1" a="1"/>
  <c r="HF318" i="1" a="1"/>
  <c r="HF206" i="1" a="1"/>
  <c r="HF126" i="1" a="1"/>
  <c r="HF167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127" i="1" a="1"/>
  <c r="HF67" i="1" a="1"/>
  <c r="HF168" i="1" a="1"/>
  <c r="HF319" i="1" a="1"/>
  <c r="HF245" i="1" a="1"/>
  <c r="HF207" i="1" a="1"/>
  <c r="HF90" i="1" a="1"/>
  <c r="HF277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320" i="1" a="1"/>
  <c r="HF169" i="1" a="1"/>
  <c r="HF246" i="1" a="1"/>
  <c r="HF278" i="1" a="1"/>
  <c r="HF208" i="1" a="1"/>
  <c r="HF91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170" i="1" a="1"/>
  <c r="HF209" i="1" a="1"/>
  <c r="HF321" i="1" a="1"/>
  <c r="HF247" i="1" a="1"/>
  <c r="HF27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280" i="1" a="1"/>
  <c r="HF70" i="1" a="1"/>
  <c r="HF322" i="1" a="1"/>
  <c r="HF93" i="1" a="1"/>
  <c r="HF210" i="1" a="1"/>
  <c r="HF171" i="1" a="1"/>
  <c r="HF248" i="1" a="1"/>
  <c r="HF130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281" i="1" a="1"/>
  <c r="HF249" i="1" a="1"/>
  <c r="HF71" i="1" a="1"/>
  <c r="HF211" i="1" a="1"/>
  <c r="HF94" i="1" a="1"/>
  <c r="HF323" i="1" a="1"/>
  <c r="HF172" i="1" a="1"/>
  <c r="HF131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282" i="1" a="1"/>
  <c r="HF132" i="1" a="1"/>
  <c r="HF72" i="1" a="1"/>
  <c r="HF95" i="1" a="1"/>
  <c r="HF212" i="1" a="1"/>
  <c r="HF173" i="1" a="1"/>
  <c r="HF250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213" i="1" a="1"/>
  <c r="HF133" i="1" a="1"/>
  <c r="HF174" i="1" a="1"/>
  <c r="HF96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175" i="1" a="1"/>
  <c r="HF251" i="1" a="1"/>
  <c r="HF134" i="1" a="1"/>
  <c r="HF97" i="1" a="1"/>
  <c r="HF284" i="1" a="1"/>
  <c r="HL253" i="1" l="1"/>
  <c r="HL254" i="1" s="1"/>
  <c r="HL255" i="1" s="1"/>
  <c r="HL256" i="1" s="1"/>
  <c r="HL257" i="1" s="1"/>
  <c r="HL258" i="1" s="1"/>
  <c r="HL259" i="1" s="1"/>
  <c r="HL260" i="1" s="1"/>
  <c r="HL261" i="1" s="1"/>
  <c r="HL262" i="1" s="1"/>
  <c r="HL263" i="1" s="1"/>
  <c r="HL264" i="1" s="1"/>
  <c r="HL215" i="1"/>
  <c r="HF251" i="1"/>
  <c r="HF134" i="1"/>
  <c r="HF284" i="1"/>
  <c r="HF97" i="1"/>
  <c r="HF175" i="1"/>
  <c r="HL135" i="1"/>
  <c r="HL285" i="1"/>
  <c r="HL98" i="1"/>
  <c r="HL176" i="1"/>
  <c r="HF214" i="1" a="1"/>
  <c r="HF252" i="1" a="1"/>
  <c r="HF135" i="1" a="1"/>
  <c r="HF98" i="1" a="1"/>
  <c r="HF285" i="1" a="1"/>
  <c r="HF252" i="1" l="1"/>
  <c r="HL216" i="1"/>
  <c r="HF214" i="1"/>
  <c r="HL177" i="1"/>
  <c r="HF98" i="1"/>
  <c r="HF285" i="1"/>
  <c r="HF135" i="1"/>
  <c r="HL99" i="1"/>
  <c r="HL286" i="1"/>
  <c r="HL136" i="1"/>
  <c r="HF215" i="1" a="1"/>
  <c r="HF136" i="1" a="1"/>
  <c r="HF176" i="1" a="1"/>
  <c r="HF99" i="1" a="1"/>
  <c r="HF286" i="1" a="1"/>
  <c r="HL217" i="1" l="1"/>
  <c r="HF215" i="1"/>
  <c r="HL178" i="1"/>
  <c r="HF176" i="1"/>
  <c r="HF136" i="1"/>
  <c r="HF286" i="1"/>
  <c r="HF99" i="1"/>
  <c r="HL137" i="1"/>
  <c r="HL287" i="1"/>
  <c r="HL100" i="1"/>
  <c r="HF287" i="1" a="1"/>
  <c r="HF216" i="1" a="1"/>
  <c r="HF100" i="1" a="1"/>
  <c r="HF177" i="1" a="1"/>
  <c r="HF137" i="1" a="1"/>
  <c r="HL218" i="1" l="1"/>
  <c r="HF216" i="1"/>
  <c r="HL179" i="1"/>
  <c r="HF177" i="1"/>
  <c r="HF100" i="1"/>
  <c r="HF287" i="1"/>
  <c r="HF137" i="1"/>
  <c r="HL101" i="1"/>
  <c r="HL288" i="1"/>
  <c r="HL138" i="1"/>
  <c r="HF288" i="1" a="1"/>
  <c r="HF178" i="1" a="1"/>
  <c r="HF217" i="1" a="1"/>
  <c r="HF101" i="1" a="1"/>
  <c r="HL219" i="1" l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218" i="1" a="1"/>
  <c r="HF138" i="1" a="1"/>
  <c r="HF179" i="1" a="1"/>
  <c r="HF102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39" i="1" a="1"/>
  <c r="HF289" i="1" a="1"/>
  <c r="HF103" i="1" a="1"/>
  <c r="HF289" i="1" l="1"/>
  <c r="HL141" i="1"/>
  <c r="HF139" i="1"/>
  <c r="HF103" i="1"/>
  <c r="HL104" i="1"/>
  <c r="HF140" i="1" a="1"/>
  <c r="HF104" i="1" a="1"/>
  <c r="HL142" i="1" l="1"/>
  <c r="HF140" i="1"/>
  <c r="HF104" i="1"/>
  <c r="HL105" i="1"/>
  <c r="HF141" i="1" a="1"/>
  <c r="HL143" i="1" l="1"/>
  <c r="HF141" i="1"/>
  <c r="HL106" i="1"/>
  <c r="HF105" i="1" a="1"/>
  <c r="HF142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<sst xmlns="http://schemas.openxmlformats.org/spreadsheetml/2006/main" count="1590" uniqueCount="296">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</sst>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1"/>
      <color theme="6" tint="-0.24997711111789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3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3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165" fontId="13" fillId="11" borderId="0" xfId="1" applyNumberFormat="1" applyFont="1" applyFill="1" applyBorder="1" applyProtection="1"/>
    <xf numFmtId="165" fontId="13" fillId="12" borderId="0" xfId="1" applyNumberFormat="1" applyFont="1" applyFill="1" applyBorder="1" applyProtection="1"/>
    <xf numFmtId="0" fontId="12" fillId="0" borderId="0" xfId="0" applyFont="1"/>
    <xf numFmtId="165" fontId="12" fillId="0" borderId="0" xfId="1" applyNumberFormat="1" applyFont="1" applyAlignment="1">
      <alignment horizontal="center"/>
    </xf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14" borderId="0" xfId="1" applyNumberFormat="1" applyFont="1" applyFill="1" applyBorder="1" applyProtection="1"/>
    <xf numFmtId="165" fontId="4" fillId="15" borderId="0" xfId="1" applyNumberFormat="1" applyFont="1" applyFill="1" applyBorder="1" applyProtection="1"/>
    <xf numFmtId="14" fontId="4" fillId="6" borderId="24" xfId="0" applyNumberFormat="1" applyFont="1" applyFill="1" applyBorder="1" applyAlignment="1" applyProtection="1">
      <alignment horizontal="center"/>
      <protection locked="0"/>
    </xf>
    <xf numFmtId="0" fontId="4" fillId="6" borderId="25" xfId="0" applyFont="1" applyFill="1" applyBorder="1" applyProtection="1">
      <protection locked="0"/>
    </xf>
    <xf numFmtId="165" fontId="4" fillId="6" borderId="26" xfId="1" applyNumberFormat="1" applyFont="1" applyFill="1" applyBorder="1" applyProtection="1"/>
    <xf numFmtId="0" fontId="4" fillId="6" borderId="25" xfId="0" applyFont="1" applyFill="1" applyBorder="1" applyAlignment="1" applyProtection="1">
      <alignment horizontal="center" vertical="center" wrapText="1"/>
      <protection locked="0"/>
    </xf>
    <xf numFmtId="165" fontId="4" fillId="0" borderId="0" xfId="1" applyNumberFormat="1" applyFont="1" applyBorder="1" applyProtection="1"/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65" fontId="4" fillId="0" borderId="0" xfId="1" applyNumberFormat="1" applyFont="1" applyAlignment="1" applyProtection="1">
      <alignment horizontal="center" vertical="center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7" tableType="queryTable" totalsRowShown="0" headerRowDxfId="39" dataDxfId="38">
  <autoFilter ref="E2:I157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4" totalsRowShown="0" headerRowDxfId="32" dataDxfId="30" headerRowBorderDxfId="31" tableBorderDxfId="29">
  <autoFilter ref="K2:N404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47" totalsRowShown="0" headerRowDxfId="24" dataDxfId="22" headerRowBorderDxfId="23" tableBorderDxfId="21">
  <autoFilter ref="P2:S247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88" tableType="queryTable" totalsRowShown="0" headerRowDxfId="16" dataDxfId="15">
  <autoFilter ref="A2:C188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7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zoomScaleNormal="100" workbookViewId="0">
      <pane ySplit="3" topLeftCell="A4" activePane="bottomLeft" state="frozen"/>
      <selection pane="bottomLeft" activeCell="A4" sqref="A4"/>
    </sheetView>
  </sheetViews>
  <sheetFormatPr baseColWidth="10" defaultColWidth="11.3984375" defaultRowHeight="13.5" outlineLevelCol="1" x14ac:dyDescent="0.35"/>
  <cols>
    <col min="1" max="1" width="29.1328125" style="1" bestFit="1" customWidth="1"/>
    <col min="2" max="2" width="11.3984375" style="1"/>
    <col min="3" max="3" width="14.59765625" style="1" bestFit="1" customWidth="1"/>
    <col min="4" max="4" width="18.1328125" style="24" bestFit="1" customWidth="1"/>
    <col min="5" max="6" width="6.86328125" style="24" customWidth="1"/>
    <col min="7" max="7" width="6.59765625" style="3" bestFit="1" customWidth="1"/>
    <col min="8" max="8" width="15.59765625" style="3" customWidth="1" outlineLevel="1"/>
    <col min="9" max="9" width="29.1328125" style="1" customWidth="1" outlineLevel="1"/>
    <col min="10" max="10" width="6.86328125" style="3" customWidth="1" outlineLevel="1"/>
    <col min="11" max="11" width="16.3984375" style="1" customWidth="1" outlineLevel="1"/>
    <col min="12" max="12" width="14.265625" style="1" customWidth="1" outlineLevel="1"/>
    <col min="13" max="13" width="16.1328125" style="1" customWidth="1" outlineLevel="1"/>
    <col min="14" max="14" width="9.1328125" style="1" customWidth="1"/>
    <col min="15" max="15" width="3.265625" style="23" hidden="1" customWidth="1" outlineLevel="1"/>
    <col min="16" max="16" width="17.265625" style="1" hidden="1" customWidth="1" outlineLevel="1"/>
    <col min="17" max="17" width="14.59765625" style="1" hidden="1" customWidth="1" outlineLevel="1"/>
    <col min="18" max="18" width="3.73046875" style="1" hidden="1" customWidth="1" outlineLevel="1"/>
    <col min="19" max="19" width="3.265625" style="3" hidden="1" customWidth="1" outlineLevel="1"/>
    <col min="20" max="21" width="14.59765625" style="1" hidden="1" customWidth="1" outlineLevel="1"/>
    <col min="22" max="22" width="3.73046875" style="1" hidden="1" customWidth="1" outlineLevel="1"/>
    <col min="23" max="23" width="3.265625" style="3" hidden="1" customWidth="1" outlineLevel="1"/>
    <col min="24" max="24" width="16.59765625" style="1" hidden="1" customWidth="1" outlineLevel="1"/>
    <col min="25" max="25" width="14.59765625" style="1" hidden="1" customWidth="1" outlineLevel="1"/>
    <col min="26" max="26" width="3.73046875" style="1" hidden="1" customWidth="1" outlineLevel="1"/>
    <col min="27" max="27" width="3.265625" style="3" hidden="1" customWidth="1" outlineLevel="1"/>
    <col min="28" max="28" width="15.59765625" style="1" hidden="1" customWidth="1" outlineLevel="1"/>
    <col min="29" max="29" width="14.59765625" style="1" hidden="1" customWidth="1" outlineLevel="1"/>
    <col min="30" max="30" width="3.73046875" style="1" hidden="1" customWidth="1" outlineLevel="1"/>
    <col min="31" max="31" width="3.265625" style="3" hidden="1" customWidth="1" collapsed="1"/>
    <col min="32" max="32" width="14.3984375" style="1" hidden="1" customWidth="1"/>
    <col min="33" max="33" width="14.59765625" style="1" hidden="1" customWidth="1"/>
    <col min="34" max="34" width="3.73046875" style="1" hidden="1" customWidth="1"/>
    <col min="35" max="35" width="3.265625" style="3" customWidth="1"/>
    <col min="36" max="36" width="14.265625" style="1" customWidth="1"/>
    <col min="37" max="37" width="14.59765625" style="1" customWidth="1"/>
    <col min="38" max="38" width="3.73046875" style="1" customWidth="1"/>
    <col min="39" max="39" width="3.265625" style="3" customWidth="1"/>
    <col min="40" max="41" width="14.59765625" style="1" customWidth="1"/>
    <col min="42" max="42" width="3.73046875" style="1" customWidth="1"/>
    <col min="43" max="43" width="3.3984375" style="1" bestFit="1" customWidth="1"/>
    <col min="44" max="44" width="13.265625" style="1" customWidth="1"/>
    <col min="45" max="45" width="14.59765625" style="1" customWidth="1"/>
    <col min="46" max="46" width="3.73046875" style="1" customWidth="1"/>
    <col min="47" max="47" width="3.3984375" style="1" bestFit="1" customWidth="1"/>
    <col min="48" max="48" width="13.3984375" style="1" bestFit="1" customWidth="1"/>
    <col min="49" max="49" width="14.59765625" style="1" customWidth="1"/>
    <col min="50" max="50" width="3.73046875" style="1" customWidth="1"/>
    <col min="51" max="51" width="2.59765625" style="1" customWidth="1"/>
    <col min="52" max="52" width="13.265625" style="1" customWidth="1"/>
    <col min="53" max="53" width="14.59765625" style="1" customWidth="1"/>
    <col min="54" max="54" width="3.73046875" style="1" customWidth="1"/>
    <col min="55" max="55" width="2.59765625" style="1" customWidth="1"/>
    <col min="56" max="56" width="13.265625" style="1" customWidth="1"/>
    <col min="57" max="57" width="14.59765625" style="1" customWidth="1"/>
    <col min="58" max="58" width="3.73046875" style="1" customWidth="1"/>
    <col min="59" max="59" width="2.59765625" style="1" customWidth="1"/>
    <col min="60" max="60" width="13.265625" style="1" customWidth="1"/>
    <col min="61" max="61" width="14.59765625" style="1" customWidth="1"/>
    <col min="62" max="62" width="3.73046875" style="1" customWidth="1"/>
    <col min="63" max="63" width="2.59765625" style="1" customWidth="1"/>
    <col min="64" max="64" width="13.265625" style="1" customWidth="1"/>
    <col min="65" max="65" width="14.59765625" style="1" customWidth="1"/>
    <col min="66" max="66" width="3.73046875" style="1" customWidth="1"/>
    <col min="67" max="67" width="2.59765625" style="1" customWidth="1"/>
    <col min="68" max="68" width="13.265625" style="1" customWidth="1"/>
    <col min="69" max="69" width="14.59765625" style="1" customWidth="1"/>
    <col min="70" max="70" width="3.73046875" style="1" customWidth="1"/>
    <col min="71" max="71" width="2.59765625" style="1" customWidth="1"/>
    <col min="72" max="72" width="13.265625" style="1" customWidth="1"/>
    <col min="73" max="73" width="14.59765625" style="1" customWidth="1"/>
    <col min="74" max="74" width="3.73046875" style="1" customWidth="1"/>
    <col min="75" max="75" width="2.59765625" style="1" customWidth="1"/>
    <col min="76" max="77" width="13.265625" style="1" customWidth="1"/>
    <col min="78" max="78" width="3.73046875" style="1" customWidth="1"/>
    <col min="79" max="79" width="2.59765625" style="1" customWidth="1"/>
    <col min="80" max="81" width="13.265625" style="1" customWidth="1"/>
    <col min="82" max="82" width="3.73046875" style="1" customWidth="1"/>
    <col min="83" max="83" width="2.59765625" style="1" customWidth="1"/>
    <col min="84" max="85" width="13.265625" style="1" customWidth="1"/>
    <col min="86" max="86" width="3.73046875" style="1" customWidth="1"/>
    <col min="87" max="87" width="2.59765625" style="1" customWidth="1"/>
    <col min="88" max="89" width="13.265625" style="1" customWidth="1"/>
    <col min="90" max="90" width="3.73046875" style="1" customWidth="1"/>
    <col min="91" max="214" width="11.3984375" style="1"/>
    <col min="215" max="215" width="39.265625" style="1" customWidth="1"/>
    <col min="216" max="216" width="11.3984375" style="1"/>
    <col min="217" max="217" width="16.265625" style="4" bestFit="1" customWidth="1"/>
    <col min="218" max="16384" width="11.3984375" style="1"/>
  </cols>
  <sheetData>
    <row r="1" spans="1:220" ht="18" thickBot="1" x14ac:dyDescent="0.55000000000000004">
      <c r="A1" s="5" t="s">
        <v>36</v>
      </c>
      <c r="C1" s="60" t="s">
        <v>68</v>
      </c>
      <c r="D1" s="61">
        <f ca="1">+SUMIFS(C4:C46,E4:E46,"&lt;&gt;SI")</f>
        <v>11441989.77</v>
      </c>
      <c r="H1" s="170" t="s">
        <v>34</v>
      </c>
      <c r="I1" s="171"/>
      <c r="J1" s="171"/>
      <c r="K1" s="171"/>
      <c r="L1" s="171"/>
      <c r="M1" s="171"/>
      <c r="N1" s="172"/>
      <c r="O1" s="173">
        <v>2025</v>
      </c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5"/>
      <c r="AA1" s="176">
        <v>2026</v>
      </c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77"/>
      <c r="BG1" s="177"/>
      <c r="BH1" s="177"/>
      <c r="BI1" s="177"/>
      <c r="BJ1" s="177"/>
      <c r="BK1" s="177"/>
      <c r="BL1" s="177"/>
      <c r="BM1" s="177"/>
      <c r="BN1" s="177"/>
      <c r="BO1" s="177"/>
      <c r="BP1" s="177"/>
      <c r="BQ1" s="177"/>
      <c r="BR1" s="177"/>
      <c r="BS1" s="176">
        <v>2027</v>
      </c>
      <c r="BT1" s="177"/>
      <c r="BU1" s="177"/>
      <c r="BV1" s="177"/>
      <c r="BW1" s="177"/>
      <c r="BX1" s="177"/>
      <c r="BY1" s="177"/>
      <c r="BZ1" s="177"/>
      <c r="CA1" s="177"/>
      <c r="CB1" s="177"/>
      <c r="CC1" s="177"/>
      <c r="CD1" s="177"/>
      <c r="CE1" s="177"/>
      <c r="CF1" s="177"/>
      <c r="CG1" s="177"/>
      <c r="CH1" s="177"/>
      <c r="CI1" s="177"/>
      <c r="CJ1" s="177"/>
      <c r="CK1" s="177"/>
      <c r="CL1" s="177"/>
      <c r="CM1" s="177"/>
      <c r="CN1" s="177"/>
      <c r="CO1" s="177"/>
      <c r="CP1" s="177"/>
      <c r="CQ1" s="177"/>
      <c r="CR1" s="177"/>
      <c r="CS1" s="177"/>
      <c r="CT1" s="177"/>
      <c r="CU1" s="177"/>
      <c r="CV1" s="177"/>
      <c r="CW1" s="177"/>
      <c r="CX1" s="177"/>
      <c r="CY1" s="177"/>
      <c r="CZ1" s="177"/>
      <c r="DA1" s="177"/>
      <c r="DB1" s="177"/>
      <c r="DC1" s="177"/>
      <c r="DD1" s="177"/>
      <c r="DE1" s="177"/>
      <c r="DF1" s="177"/>
      <c r="DG1" s="177"/>
      <c r="DH1" s="177"/>
      <c r="DI1" s="177"/>
      <c r="DJ1" s="177"/>
      <c r="DK1" s="177"/>
      <c r="DL1" s="177"/>
      <c r="DM1" s="177"/>
      <c r="DN1" s="177"/>
      <c r="DO1" s="177"/>
      <c r="DP1" s="177"/>
      <c r="DQ1" s="177"/>
      <c r="DR1" s="177"/>
      <c r="DS1" s="178"/>
    </row>
    <row r="2" spans="1:220" s="2" customFormat="1" ht="14.25" thickBot="1" x14ac:dyDescent="0.45">
      <c r="A2" s="44">
        <v>46143</v>
      </c>
      <c r="B2" s="1"/>
      <c r="C2" s="20">
        <f ca="1">+SUM(C4:C43)</f>
        <v>10794169.77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4.25" thickBot="1" x14ac:dyDescent="0.45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953345.57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4.25" x14ac:dyDescent="0.45">
      <c r="A4" s="1" t="str" cm="1">
        <f t="array" aca="1" ref="A4:E28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B4" s="42">
        <f ca="1"/>
        <v>1</v>
      </c>
      <c r="C4" s="8">
        <f ca="1"/>
        <v>90342</v>
      </c>
      <c r="D4" s="59" t="str">
        <f ca="1"/>
        <v/>
      </c>
      <c r="E4" s="25" t="str">
        <f ca="1"/>
        <v/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4.25" x14ac:dyDescent="0.45">
      <c r="A5" s="1" t="str">
        <f ca="1"/>
        <v>Monotributo IVAN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/>
      <c r="AS5" s="52"/>
      <c r="AT5" s="9"/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4.25" x14ac:dyDescent="0.45">
      <c r="A6" s="1" t="str">
        <f ca="1"/>
        <v>Monotributo Mayeski</v>
      </c>
      <c r="B6" s="42">
        <f ca="1"/>
        <v>1</v>
      </c>
      <c r="C6" s="8">
        <f ca="1"/>
        <v>52280</v>
      </c>
      <c r="D6" s="59" t="str">
        <f ca="1"/>
        <v/>
      </c>
      <c r="E6" s="3" t="str">
        <f ca="1"/>
        <v/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4.25" x14ac:dyDescent="0.45">
      <c r="A7" s="1" t="str">
        <f ca="1"/>
        <v>Monotributo David</v>
      </c>
      <c r="B7" s="42">
        <f ca="1"/>
        <v>1</v>
      </c>
      <c r="C7" s="8">
        <f ca="1"/>
        <v>42246</v>
      </c>
      <c r="D7" s="59" t="str">
        <f ca="1"/>
        <v/>
      </c>
      <c r="E7" s="3" t="str">
        <f ca="1"/>
        <v/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/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4.25" x14ac:dyDescent="0.45">
      <c r="A8" s="1" t="str">
        <f ca="1"/>
        <v>Movistar</v>
      </c>
      <c r="B8" s="42">
        <f ca="1"/>
        <v>1</v>
      </c>
      <c r="C8" s="8">
        <f ca="1"/>
        <v>10350</v>
      </c>
      <c r="D8" s="59" t="str">
        <f ca="1"/>
        <v/>
      </c>
      <c r="E8" s="3" t="str">
        <f ca="1"/>
        <v/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/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4.25" x14ac:dyDescent="0.45">
      <c r="A9" s="1" t="str">
        <f ca="1"/>
        <v>Victoria Seguros</v>
      </c>
      <c r="B9" s="42">
        <f ca="1"/>
        <v>1</v>
      </c>
      <c r="C9" s="8">
        <f ca="1"/>
        <v>123878</v>
      </c>
      <c r="D9" s="59" t="str">
        <f ca="1"/>
        <v/>
      </c>
      <c r="E9" s="3" t="str">
        <f ca="1"/>
        <v/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4.25" x14ac:dyDescent="0.45">
      <c r="A10" s="1" t="str">
        <f ca="1"/>
        <v>Aseg. Motovehicular</v>
      </c>
      <c r="B10" s="42">
        <f ca="1"/>
        <v>2</v>
      </c>
      <c r="C10" s="8">
        <f ca="1"/>
        <v>141512.71</v>
      </c>
      <c r="D10" s="59" t="str">
        <f ca="1"/>
        <v/>
      </c>
      <c r="E10" s="3" t="str">
        <f ca="1"/>
        <v/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4.25" x14ac:dyDescent="0.45">
      <c r="A11" s="1" t="str">
        <f ca="1"/>
        <v>Personal Flow</v>
      </c>
      <c r="B11" s="42">
        <f ca="1"/>
        <v>2</v>
      </c>
      <c r="C11" s="102">
        <f ca="1"/>
        <v>71670</v>
      </c>
      <c r="D11" s="133" t="str">
        <f ca="1"/>
        <v/>
      </c>
      <c r="E11" s="3" t="str">
        <f ca="1"/>
        <v/>
      </c>
      <c r="F11" s="140" t="str">
        <f t="shared" ca="1" si="19"/>
        <v/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4.25" x14ac:dyDescent="0.45">
      <c r="A12" s="1" t="str">
        <f ca="1"/>
        <v>Tarjeta ICBC</v>
      </c>
      <c r="B12" s="42">
        <f ca="1"/>
        <v>7</v>
      </c>
      <c r="C12" s="102">
        <f ca="1"/>
        <v>364040.33</v>
      </c>
      <c r="D12" s="133" t="str">
        <f ca="1"/>
        <v/>
      </c>
      <c r="E12" s="3" t="str">
        <f ca="1"/>
        <v/>
      </c>
      <c r="F12" s="140" t="str">
        <f t="shared" ca="1" si="19"/>
        <v/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4.25" x14ac:dyDescent="0.45">
      <c r="A13" s="1" t="str">
        <f ca="1"/>
        <v>Alquiler Distribuidora</v>
      </c>
      <c r="B13" s="42">
        <f ca="1"/>
        <v>10</v>
      </c>
      <c r="C13" s="102">
        <f ca="1"/>
        <v>600000</v>
      </c>
      <c r="D13" s="133" t="str">
        <f ca="1"/>
        <v/>
      </c>
      <c r="E13" s="3" t="str">
        <f ca="1"/>
        <v/>
      </c>
      <c r="F13" s="140" t="str">
        <f t="shared" ca="1" si="19"/>
        <v/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4.25" x14ac:dyDescent="0.45">
      <c r="A14" s="1" t="str">
        <f ca="1"/>
        <v>Alquiler Casa</v>
      </c>
      <c r="B14" s="42">
        <f ca="1"/>
        <v>10</v>
      </c>
      <c r="C14" s="102">
        <f ca="1"/>
        <v>350000</v>
      </c>
      <c r="D14" s="133" t="str">
        <f ca="1"/>
        <v/>
      </c>
      <c r="E14" s="3" t="str">
        <f ca="1"/>
        <v/>
      </c>
      <c r="F14" s="140" t="str">
        <f t="shared" ca="1" si="19"/>
        <v/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4.25" x14ac:dyDescent="0.45">
      <c r="A15" s="1" t="str">
        <f ca="1"/>
        <v>Mel diseño grafico</v>
      </c>
      <c r="B15" s="42">
        <f ca="1"/>
        <v>10</v>
      </c>
      <c r="C15" s="102">
        <f ca="1"/>
        <v>430000</v>
      </c>
      <c r="D15" s="133" t="str">
        <f ca="1"/>
        <v/>
      </c>
      <c r="E15" s="3" t="str">
        <f ca="1"/>
        <v/>
      </c>
      <c r="F15" s="140" t="str">
        <f t="shared" ca="1" si="19"/>
        <v/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4.25" x14ac:dyDescent="0.45">
      <c r="A16" s="1" t="str">
        <f ca="1"/>
        <v>Contador</v>
      </c>
      <c r="B16" s="42">
        <f ca="1"/>
        <v>10</v>
      </c>
      <c r="C16" s="102">
        <f ca="1"/>
        <v>165000</v>
      </c>
      <c r="D16" s="133" t="str">
        <f ca="1"/>
        <v/>
      </c>
      <c r="E16" s="3" t="str">
        <f ca="1"/>
        <v/>
      </c>
      <c r="F16" s="140" t="str">
        <f t="shared" ca="1" si="19"/>
        <v/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4.25" x14ac:dyDescent="0.45">
      <c r="A17" s="1" t="str">
        <f ca="1"/>
        <v>Cargas Sociales</v>
      </c>
      <c r="B17" s="42">
        <f ca="1"/>
        <v>10</v>
      </c>
      <c r="C17" s="102">
        <f ca="1"/>
        <v>831762</v>
      </c>
      <c r="D17" s="133" t="str">
        <f ca="1"/>
        <v/>
      </c>
      <c r="E17" s="3" t="str">
        <f ca="1"/>
        <v/>
      </c>
      <c r="F17" s="140" t="str">
        <f t="shared" ca="1" si="19"/>
        <v/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4.25" x14ac:dyDescent="0.45">
      <c r="A18" s="1" t="str">
        <f ca="1"/>
        <v>Prestamo Galicia - SGR</v>
      </c>
      <c r="B18" s="42">
        <f ca="1"/>
        <v>14</v>
      </c>
      <c r="C18" s="141">
        <f ca="1"/>
        <v>1437968.04</v>
      </c>
      <c r="D18" s="133" t="str">
        <f ca="1"/>
        <v/>
      </c>
      <c r="E18" s="134" t="str">
        <f ca="1"/>
        <v/>
      </c>
      <c r="F18" s="140" t="str">
        <f t="shared" ca="1" si="19"/>
        <v/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4.25" x14ac:dyDescent="0.45">
      <c r="A19" s="1" t="str">
        <f ca="1"/>
        <v>Tarjeta Galicia + VISA</v>
      </c>
      <c r="B19" s="42">
        <f ca="1"/>
        <v>15</v>
      </c>
      <c r="C19" s="141">
        <f ca="1"/>
        <v>953345.57</v>
      </c>
      <c r="D19" s="133" t="str">
        <f ca="1"/>
        <v/>
      </c>
      <c r="E19" s="134" t="str">
        <f ca="1"/>
        <v/>
      </c>
      <c r="F19" s="140" t="str">
        <f t="shared" ca="1" si="19"/>
        <v/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4.25" x14ac:dyDescent="0.45">
      <c r="A20" s="1" t="str">
        <f ca="1"/>
        <v>Cuota Facilidades IVA</v>
      </c>
      <c r="B20" s="42">
        <f ca="1"/>
        <v>16</v>
      </c>
      <c r="C20" s="102">
        <f ca="1"/>
        <v>446304</v>
      </c>
      <c r="D20" s="133" t="str">
        <f ca="1"/>
        <v/>
      </c>
      <c r="E20" s="134" t="str">
        <f ca="1"/>
        <v/>
      </c>
      <c r="F20" s="140" t="str">
        <f t="shared" ca="1" si="19"/>
        <v/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4.25" x14ac:dyDescent="0.45">
      <c r="A21" s="1" t="str">
        <f ca="1"/>
        <v>Cuota Facilidades IVA</v>
      </c>
      <c r="B21" s="42">
        <f ca="1"/>
        <v>16</v>
      </c>
      <c r="C21" s="102">
        <f ca="1"/>
        <v>410336</v>
      </c>
      <c r="D21" s="133" t="str">
        <f ca="1"/>
        <v/>
      </c>
      <c r="E21" s="134" t="str">
        <f ca="1"/>
        <v/>
      </c>
      <c r="F21" s="140" t="str">
        <f t="shared" ca="1" si="19"/>
        <v/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4.25" x14ac:dyDescent="0.45">
      <c r="A22" s="1" t="str">
        <f ca="1"/>
        <v>Personal Flow</v>
      </c>
      <c r="B22" s="42">
        <f ca="1"/>
        <v>16</v>
      </c>
      <c r="C22" s="141">
        <f ca="1"/>
        <v>89083</v>
      </c>
      <c r="D22" s="133" t="str">
        <f ca="1"/>
        <v/>
      </c>
      <c r="E22" s="134" t="str">
        <f ca="1"/>
        <v/>
      </c>
      <c r="F22" s="140" t="str">
        <f t="shared" ca="1" si="19"/>
        <v/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4.25" x14ac:dyDescent="0.45">
      <c r="A23" s="1" t="str">
        <f ca="1"/>
        <v>Tarjeta Galicia - BUSINESS</v>
      </c>
      <c r="B23" s="42">
        <f ca="1"/>
        <v>16</v>
      </c>
      <c r="C23" s="102">
        <f ca="1"/>
        <v>848160</v>
      </c>
      <c r="D23" s="133" t="str">
        <f ca="1"/>
        <v/>
      </c>
      <c r="E23" s="134" t="str">
        <f ca="1"/>
        <v/>
      </c>
      <c r="F23" s="140" t="str">
        <f t="shared" ca="1" si="19"/>
        <v/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f t="shared" si="41"/>
        <v>1</v>
      </c>
      <c r="AR23" s="8">
        <f>+AN23</f>
        <v>90342</v>
      </c>
      <c r="AS23" s="52"/>
      <c r="AT23" s="9"/>
      <c r="AU23" s="22">
        <f t="shared" si="43"/>
        <v>1</v>
      </c>
      <c r="AV23" s="8">
        <f>+AR23</f>
        <v>90342</v>
      </c>
      <c r="AW23" s="52"/>
      <c r="AX23" s="9"/>
      <c r="AY23" s="22">
        <f t="shared" ref="AY23:AY27" si="63">+AU23</f>
        <v>1</v>
      </c>
      <c r="AZ23" s="8">
        <f>+AV23</f>
        <v>90342</v>
      </c>
      <c r="BA23" s="52"/>
      <c r="BB23" s="9"/>
      <c r="BC23" s="22">
        <f t="shared" ref="BC23:BC27" si="64">+AY23</f>
        <v>1</v>
      </c>
      <c r="BD23" s="8">
        <f>+AZ23</f>
        <v>90342</v>
      </c>
      <c r="BE23" s="52"/>
      <c r="BF23" s="9"/>
      <c r="BG23" s="22">
        <f t="shared" ref="BG23:BG27" si="65">+BC23</f>
        <v>1</v>
      </c>
      <c r="BH23" s="8">
        <f>+BD23</f>
        <v>90342</v>
      </c>
      <c r="BI23" s="52"/>
      <c r="BJ23" s="9"/>
      <c r="BK23" s="22">
        <f t="shared" ref="BK23:BK27" si="66">+BG23</f>
        <v>1</v>
      </c>
      <c r="BL23" s="8">
        <f>+BH23</f>
        <v>90342</v>
      </c>
      <c r="BM23" s="52"/>
      <c r="BN23" s="9"/>
      <c r="BO23" s="22">
        <f t="shared" ref="BO23:BO27" si="67">+BK23</f>
        <v>1</v>
      </c>
      <c r="BP23" s="8">
        <f>+BL23</f>
        <v>90342</v>
      </c>
      <c r="BQ23" s="52"/>
      <c r="BR23" s="9"/>
      <c r="BS23" s="22">
        <f t="shared" ref="BS23:BS27" si="68">+BO23</f>
        <v>1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4.25" x14ac:dyDescent="0.45">
      <c r="A24" s="1" t="str">
        <f ca="1"/>
        <v>Prestamo Galicia +</v>
      </c>
      <c r="B24" s="42">
        <f ca="1"/>
        <v>19</v>
      </c>
      <c r="C24" s="102">
        <f ca="1"/>
        <v>1311628.8700000001</v>
      </c>
      <c r="D24" s="133" t="str">
        <f ca="1"/>
        <v/>
      </c>
      <c r="E24" s="134" t="str">
        <f ca="1"/>
        <v/>
      </c>
      <c r="F24" s="140" t="str">
        <f t="shared" ca="1" si="19"/>
        <v/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4.25" x14ac:dyDescent="0.45">
      <c r="A25" s="1" t="str">
        <f ca="1"/>
        <v>BS Gestion</v>
      </c>
      <c r="B25" s="42">
        <f ca="1"/>
        <v>20</v>
      </c>
      <c r="C25" s="102">
        <f ca="1"/>
        <v>382511.25</v>
      </c>
      <c r="D25" s="133" t="str">
        <f ca="1"/>
        <v/>
      </c>
      <c r="E25" s="134" t="str">
        <f ca="1"/>
        <v/>
      </c>
      <c r="F25" s="140" t="str">
        <f t="shared" ca="1" si="19"/>
        <v/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4.25" x14ac:dyDescent="0.45">
      <c r="A26" s="1" t="str">
        <f ca="1"/>
        <v>Seguros Rivadavía</v>
      </c>
      <c r="B26" s="42">
        <f ca="1"/>
        <v>22</v>
      </c>
      <c r="C26" s="102">
        <f ca="1"/>
        <v>93593</v>
      </c>
      <c r="D26" s="133" t="str">
        <f ca="1"/>
        <v/>
      </c>
      <c r="E26" s="134" t="str">
        <f ca="1"/>
        <v/>
      </c>
      <c r="F26" s="140" t="str">
        <f t="shared" ca="1" si="19"/>
        <v/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4.25" x14ac:dyDescent="0.45">
      <c r="A27" s="1" t="str">
        <f ca="1"/>
        <v>Prestamo Santander Rio</v>
      </c>
      <c r="B27" s="42">
        <f ca="1"/>
        <v>24</v>
      </c>
      <c r="C27" s="141">
        <f ca="1"/>
        <v>872520</v>
      </c>
      <c r="D27" s="133" t="str">
        <f ca="1"/>
        <v/>
      </c>
      <c r="E27" s="134" t="str">
        <f ca="1"/>
        <v/>
      </c>
      <c r="F27" s="134" t="str">
        <f t="shared" ca="1" si="19"/>
        <v/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4.25" x14ac:dyDescent="0.45">
      <c r="A28" s="1" t="str">
        <f ca="1"/>
        <v>Prestamo Galicia +</v>
      </c>
      <c r="B28" s="42">
        <f ca="1"/>
        <v>27</v>
      </c>
      <c r="C28" s="102">
        <f ca="1"/>
        <v>299449</v>
      </c>
      <c r="D28" s="133" t="str">
        <f ca="1"/>
        <v/>
      </c>
      <c r="E28" s="24" t="str">
        <f ca="1"/>
        <v/>
      </c>
      <c r="F28" s="134" t="str">
        <f t="shared" ca="1" si="19"/>
        <v/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4.25" x14ac:dyDescent="0.45">
      <c r="B29" s="42"/>
      <c r="C29" s="102"/>
      <c r="D29" s="133"/>
      <c r="E29" s="134"/>
      <c r="F29" s="134" t="str">
        <f t="shared" ca="1" si="19"/>
        <v/>
      </c>
      <c r="G29" s="135" t="str">
        <f t="shared" si="20"/>
        <v/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4.25" x14ac:dyDescent="0.45">
      <c r="B30" s="42"/>
      <c r="C30" s="102"/>
      <c r="D30" s="133"/>
      <c r="E30" s="134"/>
      <c r="F30" s="134" t="str">
        <f t="shared" ca="1" si="19"/>
        <v/>
      </c>
      <c r="G30" s="135" t="str">
        <f t="shared" si="20"/>
        <v/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4.25" x14ac:dyDescent="0.45">
      <c r="B31" s="42"/>
      <c r="C31" s="102"/>
      <c r="D31" s="133"/>
      <c r="E31" s="134"/>
      <c r="F31" s="134" t="str">
        <f t="shared" ca="1" si="19"/>
        <v/>
      </c>
      <c r="G31" s="135" t="str">
        <f t="shared" si="20"/>
        <v/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4.25" x14ac:dyDescent="0.4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4.25" x14ac:dyDescent="0.4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4.25" x14ac:dyDescent="0.4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4.25" x14ac:dyDescent="0.4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4.25" x14ac:dyDescent="0.4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4.25" x14ac:dyDescent="0.4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4.25" x14ac:dyDescent="0.4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4.25" x14ac:dyDescent="0.4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16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4.25" x14ac:dyDescent="0.4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4.25" x14ac:dyDescent="0.4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4.25" x14ac:dyDescent="0.4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4.65" thickBot="1" x14ac:dyDescent="0.5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4.25" x14ac:dyDescent="0.4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10470259.770000001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4.25" x14ac:dyDescent="0.4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4.25" x14ac:dyDescent="0.4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4.25" x14ac:dyDescent="0.4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4.25" x14ac:dyDescent="0.4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4.25" x14ac:dyDescent="0.4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4.25" x14ac:dyDescent="0.4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4.25" x14ac:dyDescent="0.4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4.25" x14ac:dyDescent="0.4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4.25" x14ac:dyDescent="0.4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4.25" x14ac:dyDescent="0.4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4.25" x14ac:dyDescent="0.4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4.25" x14ac:dyDescent="0.4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4.25" x14ac:dyDescent="0.4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1353697.04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4.25" x14ac:dyDescent="0.4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4.25" x14ac:dyDescent="0.4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9192697.0399999991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4.25" x14ac:dyDescent="0.4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4.25" x14ac:dyDescent="0.4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600302.96000000089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4.25" x14ac:dyDescent="0.4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4.25" x14ac:dyDescent="0.4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4.25" x14ac:dyDescent="0.4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4.25" x14ac:dyDescent="0.4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4.25" x14ac:dyDescent="0.4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4.25" x14ac:dyDescent="0.4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4.25" x14ac:dyDescent="0.45">
      <c r="D68" s="40"/>
      <c r="F68" s="25" t="str">
        <f t="shared" ca="1" si="19"/>
        <v/>
      </c>
      <c r="G68" s="106" t="str">
        <f t="shared" si="81"/>
        <v/>
      </c>
      <c r="I68" s="3"/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4.25" x14ac:dyDescent="0.45">
      <c r="D69" s="40"/>
      <c r="F69" s="25" t="str">
        <f t="shared" ca="1" si="19"/>
        <v/>
      </c>
      <c r="G69" s="106"/>
      <c r="I69" s="3"/>
      <c r="K69" s="1">
        <v>10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4.25" x14ac:dyDescent="0.45">
      <c r="D70" s="40"/>
      <c r="F70" s="25" t="str">
        <f t="shared" ca="1" si="19"/>
        <v/>
      </c>
      <c r="G70" s="106" t="str">
        <f t="shared" si="81"/>
        <v/>
      </c>
      <c r="I70" s="3">
        <v>21.6</v>
      </c>
      <c r="K70" s="1">
        <f>+I70*K69</f>
        <v>216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4.25" x14ac:dyDescent="0.45">
      <c r="D71" s="40"/>
      <c r="F71" s="25" t="str">
        <f t="shared" ca="1" si="19"/>
        <v/>
      </c>
      <c r="G71" s="106" t="str">
        <f t="shared" si="81"/>
        <v/>
      </c>
      <c r="I71" s="3"/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35">
      <c r="D72" s="40"/>
      <c r="F72" s="25" t="str">
        <f t="shared" ref="F72:F78" ca="1" si="83">IF(B72-DAY(TODAY())&lt;0,"",B72-DAY(TODAY()))</f>
        <v/>
      </c>
      <c r="I72" s="3">
        <f>+I70*3</f>
        <v>64.800000000000011</v>
      </c>
      <c r="K72" s="37">
        <v>77117.03</v>
      </c>
      <c r="M72" s="32"/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35">
      <c r="D73" s="40"/>
      <c r="F73" s="25" t="str">
        <f t="shared" ca="1" si="83"/>
        <v/>
      </c>
      <c r="I73" s="3"/>
      <c r="M73" s="32"/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35">
      <c r="D74" s="40"/>
      <c r="F74" s="25" t="str">
        <f t="shared" ca="1" si="83"/>
        <v/>
      </c>
      <c r="I74" s="3">
        <v>3</v>
      </c>
      <c r="K74" s="37">
        <f>+K72*K69</f>
        <v>771170.3</v>
      </c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35">
      <c r="D75" s="40"/>
      <c r="F75" s="25" t="str">
        <f t="shared" ca="1" si="83"/>
        <v/>
      </c>
      <c r="H75" s="1"/>
      <c r="I75" s="3"/>
      <c r="J75" s="1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ht="13.9" x14ac:dyDescent="0.4">
      <c r="D76" s="40"/>
      <c r="F76" s="25" t="str">
        <f t="shared" ca="1" si="83"/>
        <v/>
      </c>
      <c r="I76" s="1">
        <f>+I74*I72</f>
        <v>194.40000000000003</v>
      </c>
      <c r="K76" s="3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35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35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35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35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35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35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35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35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35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35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35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35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35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35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35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35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35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35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35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35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35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35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35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35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35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35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35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35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35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35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35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35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35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35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35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35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ht="13.9" x14ac:dyDescent="0.4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35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35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35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35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35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35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35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35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35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35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35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35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35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35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35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35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35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35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35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35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35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35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35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35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35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35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35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35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35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35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35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35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35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35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35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35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35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ht="13.9" x14ac:dyDescent="0.4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35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35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35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35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35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35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35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35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35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35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35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35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35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35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35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35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35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35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35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35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35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35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35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35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35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35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35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35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35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35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35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35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35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35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35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35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35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ht="13.9" x14ac:dyDescent="0.4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35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35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35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35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35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35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35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35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35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35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35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35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35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35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35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35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35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35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35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35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35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35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35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35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35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35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35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35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35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35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35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35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35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35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35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35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35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ht="13.9" x14ac:dyDescent="0.4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35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2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228" s="1">
        <f ca="1"/>
        <v>1</v>
      </c>
      <c r="HI228" s="4">
        <f ca="1"/>
        <v>90342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35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IVAN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35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Mayeski</v>
      </c>
      <c r="HH230" s="1">
        <f ca="1"/>
        <v>1</v>
      </c>
      <c r="HI230" s="4">
        <f ca="1"/>
        <v>52280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35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Monotributo David</v>
      </c>
      <c r="HH231" s="1">
        <f ca="1"/>
        <v>1</v>
      </c>
      <c r="HI231" s="4">
        <f ca="1"/>
        <v>42246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35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Movistar</v>
      </c>
      <c r="HH232" s="1">
        <f ca="1"/>
        <v>1</v>
      </c>
      <c r="HI232" s="4">
        <f ca="1"/>
        <v>10350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35">
      <c r="HF233" s="23" cm="1">
        <f t="array" aca="1" ref="HF233" ca="1">IFERROR(IF(HI233="","",TEXT(DAY(HH233)&amp;"/"&amp;MONTH(INDIRECT("HG"&amp;HL233))&amp;"/"&amp;YEAR(INDIRECT("HG"&amp;HL233))+0,"DD/MM/YYYY"))+0,"")</f>
        <v>46143</v>
      </c>
      <c r="HG233" s="1" t="str">
        <f ca="1"/>
        <v>Victoria Seguros</v>
      </c>
      <c r="HH233" s="1">
        <f ca="1"/>
        <v>1</v>
      </c>
      <c r="HI233" s="4">
        <f ca="1"/>
        <v>123878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35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Aseg. Motovehicular</v>
      </c>
      <c r="HH234" s="1">
        <f ca="1"/>
        <v>2</v>
      </c>
      <c r="HI234" s="4">
        <f ca="1"/>
        <v>141512.71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35">
      <c r="HF235" s="23" cm="1">
        <f t="array" aca="1" ref="HF235" ca="1">IFERROR(IF(HI235="","",TEXT(DAY(HH235)&amp;"/"&amp;MONTH(INDIRECT("HG"&amp;HL235))&amp;"/"&amp;YEAR(INDIRECT("HG"&amp;HL235))+0,"DD/MM/YYYY"))+0,"")</f>
        <v>46144</v>
      </c>
      <c r="HG235" s="1" t="str">
        <f ca="1"/>
        <v>Personal Flow</v>
      </c>
      <c r="HH235" s="1">
        <f ca="1"/>
        <v>2</v>
      </c>
      <c r="HI235" s="4">
        <f ca="1"/>
        <v>71670</v>
      </c>
      <c r="HJ235" s="1" t="str">
        <f ca="1"/>
        <v/>
      </c>
      <c r="HK235" s="1" t="str">
        <f ca="1"/>
        <v/>
      </c>
      <c r="HL235" s="1">
        <f t="shared" ca="1" si="85"/>
        <v>227</v>
      </c>
    </row>
    <row r="236" spans="214:220" x14ac:dyDescent="0.35">
      <c r="HF236" s="23" cm="1">
        <f t="array" aca="1" ref="HF236" ca="1">IFERROR(IF(HI236="","",TEXT(DAY(HH236)&amp;"/"&amp;MONTH(INDIRECT("HG"&amp;HL236))&amp;"/"&amp;YEAR(INDIRECT("HG"&amp;HL236))+0,"DD/MM/YYYY"))+0,"")</f>
        <v>46149</v>
      </c>
      <c r="HG236" s="1" t="str">
        <f ca="1"/>
        <v>Tarjeta ICBC</v>
      </c>
      <c r="HH236" s="1">
        <f ca="1"/>
        <v>7</v>
      </c>
      <c r="HI236" s="4">
        <f ca="1"/>
        <v>364040.33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35">
      <c r="HF237" s="23" cm="1">
        <f t="array" aca="1" ref="HF237" ca="1">IFERROR(IF(HI237="","",TEXT(DAY(HH237)&amp;"/"&amp;MONTH(INDIRECT("HG"&amp;HL237))&amp;"/"&amp;YEAR(INDIRECT("HG"&amp;HL237))+0,"DD/MM/YYYY"))+0,"")</f>
        <v>46152</v>
      </c>
      <c r="HG237" s="1" t="str">
        <f ca="1"/>
        <v>Alquiler Distribuidora</v>
      </c>
      <c r="HH237" s="1">
        <f ca="1"/>
        <v>10</v>
      </c>
      <c r="HI237" s="4">
        <f ca="1"/>
        <v>600000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35">
      <c r="HF238" s="23" cm="1">
        <f t="array" aca="1" ref="HF238" ca="1">IFERROR(IF(HI238="","",TEXT(DAY(HH238)&amp;"/"&amp;MONTH(INDIRECT("HG"&amp;HL238))&amp;"/"&amp;YEAR(INDIRECT("HG"&amp;HL238))+0,"DD/MM/YYYY"))+0,"")</f>
        <v>46152</v>
      </c>
      <c r="HG238" s="1" t="str">
        <f ca="1"/>
        <v>Alquiler Casa</v>
      </c>
      <c r="HH238" s="1">
        <f ca="1"/>
        <v>10</v>
      </c>
      <c r="HI238" s="4">
        <f ca="1"/>
        <v>350000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35">
      <c r="HF239" s="23" cm="1">
        <f t="array" aca="1" ref="HF239" ca="1">IFERROR(IF(HI239="","",TEXT(DAY(HH239)&amp;"/"&amp;MONTH(INDIRECT("HG"&amp;HL239))&amp;"/"&amp;YEAR(INDIRECT("HG"&amp;HL239))+0,"DD/MM/YYYY"))+0,"")</f>
        <v>46152</v>
      </c>
      <c r="HG239" s="1" t="str">
        <f ca="1"/>
        <v>Mel diseño grafico</v>
      </c>
      <c r="HH239" s="1">
        <f ca="1"/>
        <v>10</v>
      </c>
      <c r="HI239" s="4">
        <f ca="1"/>
        <v>430000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35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Contador</v>
      </c>
      <c r="HH240" s="1">
        <f ca="1"/>
        <v>10</v>
      </c>
      <c r="HI240" s="4">
        <f ca="1"/>
        <v>165000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35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Cargas Sociales</v>
      </c>
      <c r="HH241" s="1">
        <f ca="1"/>
        <v>10</v>
      </c>
      <c r="HI241" s="4">
        <f ca="1"/>
        <v>831762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35">
      <c r="HF242" s="23" cm="1">
        <f t="array" aca="1" ref="HF242" ca="1">IFERROR(IF(HI242="","",TEXT(DAY(HH242)&amp;"/"&amp;MONTH(INDIRECT("HG"&amp;HL242))&amp;"/"&amp;YEAR(INDIRECT("HG"&amp;HL242))+0,"DD/MM/YYYY"))+0,"")</f>
        <v>46156</v>
      </c>
      <c r="HG242" s="1" t="str">
        <f ca="1"/>
        <v>Prestamo Galicia - SGR</v>
      </c>
      <c r="HH242" s="1">
        <f ca="1"/>
        <v>14</v>
      </c>
      <c r="HI242" s="4">
        <f ca="1"/>
        <v>1437968.04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35">
      <c r="HF243" s="23" cm="1">
        <f t="array" aca="1" ref="HF243" ca="1">IFERROR(IF(HI243="","",TEXT(DAY(HH243)&amp;"/"&amp;MONTH(INDIRECT("HG"&amp;HL243))&amp;"/"&amp;YEAR(INDIRECT("HG"&amp;HL243))+0,"DD/MM/YYYY"))+0,"")</f>
        <v>46157</v>
      </c>
      <c r="HG243" s="1" t="str">
        <f ca="1"/>
        <v>Tarjeta Galicia + VISA</v>
      </c>
      <c r="HH243" s="1">
        <f ca="1"/>
        <v>15</v>
      </c>
      <c r="HI243" s="4">
        <f ca="1"/>
        <v>953345.57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35">
      <c r="HF244" s="23" cm="1">
        <f t="array" aca="1" ref="HF244" ca="1">IFERROR(IF(HI244="","",TEXT(DAY(HH244)&amp;"/"&amp;MONTH(INDIRECT("HG"&amp;HL244))&amp;"/"&amp;YEAR(INDIRECT("HG"&amp;HL244))+0,"DD/MM/YYYY"))+0,"")</f>
        <v>46158</v>
      </c>
      <c r="HG244" s="1" t="str">
        <f ca="1"/>
        <v>Cuota Facilidades IVA</v>
      </c>
      <c r="HH244" s="1">
        <f ca="1"/>
        <v>16</v>
      </c>
      <c r="HI244" s="4">
        <f ca="1"/>
        <v>446304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35">
      <c r="HF245" s="23" cm="1">
        <f t="array" aca="1" ref="HF245" ca="1">IFERROR(IF(HI245="","",TEXT(DAY(HH245)&amp;"/"&amp;MONTH(INDIRECT("HG"&amp;HL245))&amp;"/"&amp;YEAR(INDIRECT("HG"&amp;HL245))+0,"DD/MM/YYYY"))+0,"")</f>
        <v>46158</v>
      </c>
      <c r="HG245" s="1" t="str">
        <f ca="1"/>
        <v>Cuota Facilidades IVA</v>
      </c>
      <c r="HH245" s="1">
        <f ca="1"/>
        <v>16</v>
      </c>
      <c r="HI245" s="4">
        <f ca="1"/>
        <v>410336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35">
      <c r="HF246" s="23" cm="1">
        <f t="array" aca="1" ref="HF246" ca="1">IFERROR(IF(HI246="","",TEXT(DAY(HH246)&amp;"/"&amp;MONTH(INDIRECT("HG"&amp;HL246))&amp;"/"&amp;YEAR(INDIRECT("HG"&amp;HL246))+0,"DD/MM/YYYY"))+0,"")</f>
        <v>46158</v>
      </c>
      <c r="HG246" s="1" t="str">
        <f ca="1"/>
        <v>Personal Flow</v>
      </c>
      <c r="HH246" s="1">
        <f ca="1"/>
        <v>16</v>
      </c>
      <c r="HI246" s="4">
        <f ca="1"/>
        <v>89083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35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Tarjeta Galicia - BUSINESS</v>
      </c>
      <c r="HH247" s="1">
        <f ca="1"/>
        <v>16</v>
      </c>
      <c r="HI247" s="4">
        <f ca="1"/>
        <v>848160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35">
      <c r="HF248" s="23" cm="1">
        <f t="array" aca="1" ref="HF248" ca="1">IFERROR(IF(HI248="","",TEXT(DAY(HH248)&amp;"/"&amp;MONTH(INDIRECT("HG"&amp;HL248))&amp;"/"&amp;YEAR(INDIRECT("HG"&amp;HL248))+0,"DD/MM/YYYY"))+0,"")</f>
        <v>46161</v>
      </c>
      <c r="HG248" s="1" t="str">
        <f ca="1"/>
        <v>Prestamo Galicia +</v>
      </c>
      <c r="HH248" s="1">
        <f ca="1"/>
        <v>19</v>
      </c>
      <c r="HI248" s="4">
        <f ca="1"/>
        <v>1311628.8700000001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35">
      <c r="HF249" s="23" cm="1">
        <f t="array" aca="1" ref="HF249" ca="1">IFERROR(IF(HI249="","",TEXT(DAY(HH249)&amp;"/"&amp;MONTH(INDIRECT("HG"&amp;HL249))&amp;"/"&amp;YEAR(INDIRECT("HG"&amp;HL249))+0,"DD/MM/YYYY"))+0,"")</f>
        <v>46162</v>
      </c>
      <c r="HG249" s="1" t="str">
        <f ca="1"/>
        <v>BS Gestion</v>
      </c>
      <c r="HH249" s="1">
        <f ca="1"/>
        <v>20</v>
      </c>
      <c r="HI249" s="4">
        <f ca="1"/>
        <v>382511.25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35">
      <c r="HF250" s="23" cm="1">
        <f t="array" aca="1" ref="HF250" ca="1">IFERROR(IF(HI250="","",TEXT(DAY(HH250)&amp;"/"&amp;MONTH(INDIRECT("HG"&amp;HL250))&amp;"/"&amp;YEAR(INDIRECT("HG"&amp;HL250))+0,"DD/MM/YYYY"))+0,"")</f>
        <v>46164</v>
      </c>
      <c r="HG250" s="1" t="str">
        <f ca="1"/>
        <v>Seguros Rivadavía</v>
      </c>
      <c r="HH250" s="1">
        <f ca="1"/>
        <v>22</v>
      </c>
      <c r="HI250" s="4">
        <f ca="1"/>
        <v>93593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35">
      <c r="HF251" s="23" cm="1">
        <f t="array" aca="1" ref="HF251" ca="1">IFERROR(IF(HI251="","",TEXT(DAY(HH251)&amp;"/"&amp;MONTH(INDIRECT("HG"&amp;HL251))&amp;"/"&amp;YEAR(INDIRECT("HG"&amp;HL251))+0,"DD/MM/YYYY"))+0,"")</f>
        <v>46166</v>
      </c>
      <c r="HG251" s="1" t="str">
        <f ca="1"/>
        <v>Prestamo Santander Rio</v>
      </c>
      <c r="HH251" s="1">
        <f ca="1"/>
        <v>24</v>
      </c>
      <c r="HI251" s="4">
        <f ca="1"/>
        <v>872520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35">
      <c r="HF252" s="23" cm="1">
        <f t="array" aca="1" ref="HF252" ca="1">IFERROR(IF(HI252="","",TEXT(DAY(HH252)&amp;"/"&amp;MONTH(INDIRECT("HG"&amp;HL252))&amp;"/"&amp;YEAR(INDIRECT("HG"&amp;HL252))+0,"DD/MM/YYYY"))+0,"")</f>
        <v>46169</v>
      </c>
      <c r="HG252" s="1" t="str">
        <f ca="1"/>
        <v>Prestamo Galicia +</v>
      </c>
      <c r="HH252" s="1">
        <f ca="1"/>
        <v>27</v>
      </c>
      <c r="HI252" s="4">
        <f ca="1"/>
        <v>299449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35">
      <c r="HF253" s="23" t="str" cm="1">
        <f t="array" aca="1" ref="HF253" ca="1">IFERROR(IF(HI253="","",TEXT(DAY(HH253)&amp;"/"&amp;MONTH(INDIRECT("HG"&amp;HL253))&amp;"/"&amp;YEAR(INDIRECT("HG"&amp;HL253))+0,"DD/MM/YYYY"))+0,"")</f>
        <v/>
      </c>
      <c r="HL253" s="1">
        <f t="shared" ca="1" si="85"/>
        <v>227</v>
      </c>
    </row>
    <row r="254" spans="214:220" x14ac:dyDescent="0.35">
      <c r="HF254" s="23" t="str" cm="1">
        <f t="array" aca="1" ref="HF254" ca="1">IFERROR(IF(HI254="","",TEXT(DAY(HH254)&amp;"/"&amp;MONTH(INDIRECT("HG"&amp;HL254))&amp;"/"&amp;YEAR(INDIRECT("HG"&amp;HL254))+0,"DD/MM/YYYY"))+0,"")</f>
        <v/>
      </c>
      <c r="HL254" s="1">
        <f t="shared" ca="1" si="85"/>
        <v>227</v>
      </c>
    </row>
    <row r="255" spans="214:220" x14ac:dyDescent="0.35">
      <c r="HF255" s="23" t="str" cm="1">
        <f t="array" aca="1" ref="HF255" ca="1">IFERROR(IF(HI255="","",TEXT(DAY(HH255)&amp;"/"&amp;MONTH(INDIRECT("HG"&amp;HL255))&amp;"/"&amp;YEAR(INDIRECT("HG"&amp;HL255))+0,"DD/MM/YYYY"))+0,"")</f>
        <v/>
      </c>
      <c r="HL255" s="1">
        <f t="shared" ca="1" si="85"/>
        <v>227</v>
      </c>
    </row>
    <row r="256" spans="214:220" x14ac:dyDescent="0.35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35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35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35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35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35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35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35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35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ht="13.9" x14ac:dyDescent="0.4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35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266" s="1">
        <f ca="1"/>
        <v>1</v>
      </c>
      <c r="HI266" s="4">
        <f ca="1"/>
        <v>90342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35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IVAN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35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Mayeski</v>
      </c>
      <c r="HH268" s="1">
        <f ca="1"/>
        <v>1</v>
      </c>
      <c r="HI268" s="4">
        <f ca="1"/>
        <v>52280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35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Monotributo David</v>
      </c>
      <c r="HH269" s="1">
        <f ca="1"/>
        <v>1</v>
      </c>
      <c r="HI269" s="4">
        <f ca="1"/>
        <v>42246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35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Movistar</v>
      </c>
      <c r="HH270" s="1">
        <f ca="1"/>
        <v>1</v>
      </c>
      <c r="HI270" s="4">
        <f ca="1"/>
        <v>10350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35">
      <c r="HF271" s="23" cm="1">
        <f t="array" aca="1" ref="HF271" ca="1">IFERROR(IF(HI271="","",TEXT(DAY(HH271)&amp;"/"&amp;MONTH(INDIRECT("HG"&amp;HL271))&amp;"/"&amp;YEAR(INDIRECT("HG"&amp;HL271))+0,"DD/MM/YYYY"))+0,"")</f>
        <v>46174</v>
      </c>
      <c r="HG271" s="1" t="str">
        <f ca="1"/>
        <v>Victoria Seguros</v>
      </c>
      <c r="HH271" s="1">
        <f ca="1"/>
        <v>1</v>
      </c>
      <c r="HI271" s="4">
        <f ca="1"/>
        <v>123878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35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Aseg. Motovehicular</v>
      </c>
      <c r="HH272" s="1">
        <f ca="1"/>
        <v>2</v>
      </c>
      <c r="HI272" s="4">
        <f ca="1"/>
        <v>141512.71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35">
      <c r="HF273" s="23" cm="1">
        <f t="array" aca="1" ref="HF273" ca="1">IFERROR(IF(HI273="","",TEXT(DAY(HH273)&amp;"/"&amp;MONTH(INDIRECT("HG"&amp;HL273))&amp;"/"&amp;YEAR(INDIRECT("HG"&amp;HL273))+0,"DD/MM/YYYY"))+0,"")</f>
        <v>46175</v>
      </c>
      <c r="HG273" s="1" t="str">
        <f ca="1"/>
        <v>Personal Flow</v>
      </c>
      <c r="HH273" s="1">
        <f ca="1"/>
        <v>2</v>
      </c>
      <c r="HI273" s="4">
        <f ca="1"/>
        <v>71670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35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35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35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35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35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35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35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35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35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35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35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35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35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35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35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35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35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35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35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35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35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35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35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35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35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35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35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35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35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ht="13.9" x14ac:dyDescent="0.4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35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304" s="1">
        <f ca="1"/>
        <v>1</v>
      </c>
      <c r="HI304" s="4">
        <f ca="1"/>
        <v>90342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35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IVAN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35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Mayeski</v>
      </c>
      <c r="HH306" s="1">
        <f ca="1"/>
        <v>1</v>
      </c>
      <c r="HI306" s="4">
        <f ca="1"/>
        <v>52280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35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Monotributo David</v>
      </c>
      <c r="HH307" s="1">
        <f ca="1"/>
        <v>1</v>
      </c>
      <c r="HI307" s="4">
        <f ca="1"/>
        <v>42246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35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Movistar</v>
      </c>
      <c r="HH308" s="1">
        <f ca="1"/>
        <v>1</v>
      </c>
      <c r="HI308" s="4">
        <f ca="1"/>
        <v>10350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35">
      <c r="HF309" s="23" cm="1">
        <f t="array" aca="1" ref="HF309" ca="1">IFERROR(IF(HI309="","",TEXT(DAY(HH309)&amp;"/"&amp;MONTH(INDIRECT("HG"&amp;HL309))&amp;"/"&amp;YEAR(INDIRECT("HG"&amp;HL309))+0,"DD/MM/YYYY"))+0,"")</f>
        <v>46204</v>
      </c>
      <c r="HG309" s="1" t="str">
        <f ca="1"/>
        <v>Victoria Seguros</v>
      </c>
      <c r="HH309" s="1">
        <f ca="1"/>
        <v>1</v>
      </c>
      <c r="HI309" s="4">
        <f ca="1"/>
        <v>123878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35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Aseg. Motovehicular</v>
      </c>
      <c r="HH310" s="1">
        <f ca="1"/>
        <v>2</v>
      </c>
      <c r="HI310" s="4">
        <f ca="1"/>
        <v>141512.71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35">
      <c r="HF311" s="23" cm="1">
        <f t="array" aca="1" ref="HF311" ca="1">IFERROR(IF(HI311="","",TEXT(DAY(HH311)&amp;"/"&amp;MONTH(INDIRECT("HG"&amp;HL311))&amp;"/"&amp;YEAR(INDIRECT("HG"&amp;HL311))+0,"DD/MM/YYYY"))+0,"")</f>
        <v>46205</v>
      </c>
      <c r="HG311" s="1" t="str">
        <f ca="1"/>
        <v>Personal Flow</v>
      </c>
      <c r="HH311" s="1">
        <f ca="1"/>
        <v>2</v>
      </c>
      <c r="HI311" s="4">
        <f ca="1"/>
        <v>71670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35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35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35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35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35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35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35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35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35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35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35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35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35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35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35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35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35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35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35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35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35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35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35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35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35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35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35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35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35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ht="13.9" x14ac:dyDescent="0.4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35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35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35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35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35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35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35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35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35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35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35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35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35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35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35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35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35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35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35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35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35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35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35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35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35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35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35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35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35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35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35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35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35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35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35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35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35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ht="13.9" x14ac:dyDescent="0.4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35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35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35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35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35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35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35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35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35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35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35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35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35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35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35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35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35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35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35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35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35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35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35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35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35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35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35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35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35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35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35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35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35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35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35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35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35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ht="13.9" x14ac:dyDescent="0.4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35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35">
      <c r="HL419" s="1">
        <f t="shared" ca="1" si="88"/>
        <v>417</v>
      </c>
    </row>
    <row r="420" spans="214:220" x14ac:dyDescent="0.35">
      <c r="HL420" s="1">
        <f t="shared" ca="1" si="88"/>
        <v>417</v>
      </c>
    </row>
    <row r="421" spans="214:220" x14ac:dyDescent="0.35">
      <c r="HL421" s="1">
        <f t="shared" ca="1" si="88"/>
        <v>417</v>
      </c>
    </row>
    <row r="422" spans="214:220" x14ac:dyDescent="0.35">
      <c r="HL422" s="1">
        <f t="shared" ca="1" si="88"/>
        <v>417</v>
      </c>
    </row>
    <row r="423" spans="214:220" x14ac:dyDescent="0.35">
      <c r="HL423" s="1">
        <f t="shared" ca="1" si="88"/>
        <v>417</v>
      </c>
    </row>
    <row r="424" spans="214:220" x14ac:dyDescent="0.35">
      <c r="HL424" s="1">
        <f t="shared" ca="1" si="88"/>
        <v>417</v>
      </c>
    </row>
    <row r="425" spans="214:220" x14ac:dyDescent="0.35">
      <c r="HL425" s="1">
        <f t="shared" ca="1" si="88"/>
        <v>417</v>
      </c>
    </row>
    <row r="426" spans="214:220" x14ac:dyDescent="0.35">
      <c r="HL426" s="1">
        <f t="shared" ca="1" si="88"/>
        <v>417</v>
      </c>
    </row>
    <row r="427" spans="214:220" x14ac:dyDescent="0.35">
      <c r="HL427" s="1">
        <f t="shared" ca="1" si="88"/>
        <v>417</v>
      </c>
    </row>
    <row r="428" spans="214:220" x14ac:dyDescent="0.35">
      <c r="HL428" s="1">
        <f t="shared" ca="1" si="88"/>
        <v>417</v>
      </c>
    </row>
    <row r="429" spans="214:220" x14ac:dyDescent="0.35">
      <c r="HL429" s="1">
        <f t="shared" ca="1" si="88"/>
        <v>417</v>
      </c>
    </row>
    <row r="430" spans="214:220" x14ac:dyDescent="0.35">
      <c r="HL430" s="1">
        <f t="shared" ca="1" si="88"/>
        <v>417</v>
      </c>
    </row>
    <row r="431" spans="214:220" x14ac:dyDescent="0.35">
      <c r="HL431" s="1">
        <f t="shared" ca="1" si="88"/>
        <v>417</v>
      </c>
    </row>
    <row r="432" spans="214:220" x14ac:dyDescent="0.35">
      <c r="HL432" s="1">
        <f t="shared" ca="1" si="88"/>
        <v>417</v>
      </c>
    </row>
    <row r="433" spans="220:220" x14ac:dyDescent="0.35">
      <c r="HL433" s="1">
        <f t="shared" ca="1" si="88"/>
        <v>417</v>
      </c>
    </row>
    <row r="434" spans="220:220" x14ac:dyDescent="0.35">
      <c r="HL434" s="1">
        <f t="shared" ca="1" si="88"/>
        <v>417</v>
      </c>
    </row>
    <row r="435" spans="220:220" x14ac:dyDescent="0.35">
      <c r="HL435" s="1">
        <f t="shared" ca="1" si="88"/>
        <v>417</v>
      </c>
    </row>
    <row r="436" spans="220:220" x14ac:dyDescent="0.35">
      <c r="HL436" s="1">
        <f t="shared" ca="1" si="88"/>
        <v>417</v>
      </c>
    </row>
    <row r="437" spans="220:220" x14ac:dyDescent="0.35">
      <c r="HL437" s="1">
        <f t="shared" ca="1" si="88"/>
        <v>417</v>
      </c>
    </row>
    <row r="438" spans="220:220" x14ac:dyDescent="0.35">
      <c r="HL438" s="1">
        <f t="shared" ca="1" si="88"/>
        <v>417</v>
      </c>
    </row>
    <row r="439" spans="220:220" x14ac:dyDescent="0.35">
      <c r="HL439" s="1">
        <f t="shared" ca="1" si="88"/>
        <v>417</v>
      </c>
    </row>
    <row r="440" spans="220:220" x14ac:dyDescent="0.35">
      <c r="HL440" s="1">
        <f t="shared" ca="1" si="88"/>
        <v>417</v>
      </c>
    </row>
    <row r="441" spans="220:220" x14ac:dyDescent="0.35">
      <c r="HL441" s="1">
        <f t="shared" ca="1" si="88"/>
        <v>417</v>
      </c>
    </row>
    <row r="442" spans="220:220" x14ac:dyDescent="0.35">
      <c r="HL442" s="1">
        <f t="shared" ca="1" si="88"/>
        <v>417</v>
      </c>
    </row>
    <row r="443" spans="220:220" x14ac:dyDescent="0.35">
      <c r="HL443" s="1">
        <f t="shared" ca="1" si="88"/>
        <v>417</v>
      </c>
    </row>
    <row r="444" spans="220:220" x14ac:dyDescent="0.35">
      <c r="HL444" s="1">
        <f t="shared" ca="1" si="88"/>
        <v>417</v>
      </c>
    </row>
    <row r="445" spans="220:220" x14ac:dyDescent="0.35">
      <c r="HL445" s="1">
        <f t="shared" ca="1" si="88"/>
        <v>417</v>
      </c>
    </row>
    <row r="446" spans="220:220" x14ac:dyDescent="0.35">
      <c r="HL446" s="1">
        <f t="shared" ca="1" si="88"/>
        <v>417</v>
      </c>
    </row>
    <row r="447" spans="220:220" x14ac:dyDescent="0.35">
      <c r="HL447" s="1">
        <f t="shared" ca="1" si="88"/>
        <v>417</v>
      </c>
    </row>
    <row r="448" spans="220:220" x14ac:dyDescent="0.35">
      <c r="HL448" s="1">
        <f t="shared" ca="1" si="88"/>
        <v>417</v>
      </c>
    </row>
    <row r="449" spans="220:220" x14ac:dyDescent="0.35">
      <c r="HL449" s="1">
        <f t="shared" ca="1" si="88"/>
        <v>417</v>
      </c>
    </row>
    <row r="450" spans="220:220" x14ac:dyDescent="0.35">
      <c r="HL450" s="1">
        <f t="shared" ca="1" si="88"/>
        <v>417</v>
      </c>
    </row>
    <row r="451" spans="220:220" x14ac:dyDescent="0.35">
      <c r="HL451" s="1">
        <f t="shared" ca="1" si="88"/>
        <v>417</v>
      </c>
    </row>
    <row r="452" spans="220:220" x14ac:dyDescent="0.35">
      <c r="HL452" s="1">
        <f t="shared" ca="1" si="88"/>
        <v>417</v>
      </c>
    </row>
    <row r="453" spans="220:220" x14ac:dyDescent="0.35">
      <c r="HL453" s="1">
        <f t="shared" ref="HL453:HL516" ca="1" si="89">+IF(ISNUMBER(HG453),ROW(),HL452)</f>
        <v>417</v>
      </c>
    </row>
    <row r="454" spans="220:220" x14ac:dyDescent="0.35">
      <c r="HL454" s="1">
        <f t="shared" ca="1" si="89"/>
        <v>417</v>
      </c>
    </row>
    <row r="455" spans="220:220" x14ac:dyDescent="0.35">
      <c r="HL455" s="1">
        <f t="shared" ca="1" si="89"/>
        <v>417</v>
      </c>
    </row>
    <row r="456" spans="220:220" x14ac:dyDescent="0.35">
      <c r="HL456" s="1">
        <f t="shared" ca="1" si="89"/>
        <v>417</v>
      </c>
    </row>
    <row r="457" spans="220:220" x14ac:dyDescent="0.35">
      <c r="HL457" s="1">
        <f t="shared" ca="1" si="89"/>
        <v>417</v>
      </c>
    </row>
    <row r="458" spans="220:220" x14ac:dyDescent="0.35">
      <c r="HL458" s="1">
        <f t="shared" ca="1" si="89"/>
        <v>417</v>
      </c>
    </row>
    <row r="459" spans="220:220" x14ac:dyDescent="0.35">
      <c r="HL459" s="1">
        <f t="shared" ca="1" si="89"/>
        <v>417</v>
      </c>
    </row>
    <row r="460" spans="220:220" x14ac:dyDescent="0.35">
      <c r="HL460" s="1">
        <f t="shared" ca="1" si="89"/>
        <v>417</v>
      </c>
    </row>
    <row r="461" spans="220:220" x14ac:dyDescent="0.35">
      <c r="HL461" s="1">
        <f t="shared" ca="1" si="89"/>
        <v>417</v>
      </c>
    </row>
    <row r="462" spans="220:220" x14ac:dyDescent="0.35">
      <c r="HL462" s="1">
        <f t="shared" ca="1" si="89"/>
        <v>417</v>
      </c>
    </row>
    <row r="463" spans="220:220" x14ac:dyDescent="0.35">
      <c r="HL463" s="1">
        <f t="shared" ca="1" si="89"/>
        <v>417</v>
      </c>
    </row>
    <row r="464" spans="220:220" x14ac:dyDescent="0.35">
      <c r="HL464" s="1">
        <f t="shared" ca="1" si="89"/>
        <v>417</v>
      </c>
    </row>
    <row r="465" spans="220:220" x14ac:dyDescent="0.35">
      <c r="HL465" s="1">
        <f t="shared" ca="1" si="89"/>
        <v>417</v>
      </c>
    </row>
    <row r="466" spans="220:220" x14ac:dyDescent="0.35">
      <c r="HL466" s="1">
        <f t="shared" ca="1" si="89"/>
        <v>417</v>
      </c>
    </row>
    <row r="467" spans="220:220" x14ac:dyDescent="0.35">
      <c r="HL467" s="1">
        <f t="shared" ca="1" si="89"/>
        <v>417</v>
      </c>
    </row>
    <row r="468" spans="220:220" x14ac:dyDescent="0.35">
      <c r="HL468" s="1">
        <f t="shared" ca="1" si="89"/>
        <v>417</v>
      </c>
    </row>
    <row r="469" spans="220:220" x14ac:dyDescent="0.35">
      <c r="HL469" s="1">
        <f t="shared" ca="1" si="89"/>
        <v>417</v>
      </c>
    </row>
    <row r="470" spans="220:220" x14ac:dyDescent="0.35">
      <c r="HL470" s="1">
        <f t="shared" ca="1" si="89"/>
        <v>417</v>
      </c>
    </row>
    <row r="471" spans="220:220" x14ac:dyDescent="0.35">
      <c r="HL471" s="1">
        <f t="shared" ca="1" si="89"/>
        <v>417</v>
      </c>
    </row>
    <row r="472" spans="220:220" x14ac:dyDescent="0.35">
      <c r="HL472" s="1">
        <f t="shared" ca="1" si="89"/>
        <v>417</v>
      </c>
    </row>
    <row r="473" spans="220:220" x14ac:dyDescent="0.35">
      <c r="HL473" s="1">
        <f t="shared" ca="1" si="89"/>
        <v>417</v>
      </c>
    </row>
    <row r="474" spans="220:220" x14ac:dyDescent="0.35">
      <c r="HL474" s="1">
        <f t="shared" ca="1" si="89"/>
        <v>417</v>
      </c>
    </row>
    <row r="475" spans="220:220" x14ac:dyDescent="0.35">
      <c r="HL475" s="1">
        <f t="shared" ca="1" si="89"/>
        <v>417</v>
      </c>
    </row>
    <row r="476" spans="220:220" x14ac:dyDescent="0.35">
      <c r="HL476" s="1">
        <f t="shared" ca="1" si="89"/>
        <v>417</v>
      </c>
    </row>
    <row r="477" spans="220:220" x14ac:dyDescent="0.35">
      <c r="HL477" s="1">
        <f t="shared" ca="1" si="89"/>
        <v>417</v>
      </c>
    </row>
    <row r="478" spans="220:220" x14ac:dyDescent="0.35">
      <c r="HL478" s="1">
        <f t="shared" ca="1" si="89"/>
        <v>417</v>
      </c>
    </row>
    <row r="479" spans="220:220" x14ac:dyDescent="0.35">
      <c r="HL479" s="1">
        <f t="shared" ca="1" si="89"/>
        <v>417</v>
      </c>
    </row>
    <row r="480" spans="220:220" x14ac:dyDescent="0.35">
      <c r="HL480" s="1">
        <f t="shared" ca="1" si="89"/>
        <v>417</v>
      </c>
    </row>
    <row r="481" spans="220:220" x14ac:dyDescent="0.35">
      <c r="HL481" s="1">
        <f t="shared" ca="1" si="89"/>
        <v>417</v>
      </c>
    </row>
    <row r="482" spans="220:220" x14ac:dyDescent="0.35">
      <c r="HL482" s="1">
        <f t="shared" ca="1" si="89"/>
        <v>417</v>
      </c>
    </row>
    <row r="483" spans="220:220" x14ac:dyDescent="0.35">
      <c r="HL483" s="1">
        <f t="shared" ca="1" si="89"/>
        <v>417</v>
      </c>
    </row>
    <row r="484" spans="220:220" x14ac:dyDescent="0.35">
      <c r="HL484" s="1">
        <f t="shared" ca="1" si="89"/>
        <v>417</v>
      </c>
    </row>
    <row r="485" spans="220:220" x14ac:dyDescent="0.35">
      <c r="HL485" s="1">
        <f t="shared" ca="1" si="89"/>
        <v>417</v>
      </c>
    </row>
    <row r="486" spans="220:220" x14ac:dyDescent="0.35">
      <c r="HL486" s="1">
        <f t="shared" ca="1" si="89"/>
        <v>417</v>
      </c>
    </row>
    <row r="487" spans="220:220" x14ac:dyDescent="0.35">
      <c r="HL487" s="1">
        <f t="shared" ca="1" si="89"/>
        <v>417</v>
      </c>
    </row>
    <row r="488" spans="220:220" x14ac:dyDescent="0.35">
      <c r="HL488" s="1">
        <f t="shared" ca="1" si="89"/>
        <v>417</v>
      </c>
    </row>
    <row r="489" spans="220:220" x14ac:dyDescent="0.35">
      <c r="HL489" s="1">
        <f t="shared" ca="1" si="89"/>
        <v>417</v>
      </c>
    </row>
    <row r="490" spans="220:220" x14ac:dyDescent="0.35">
      <c r="HL490" s="1">
        <f t="shared" ca="1" si="89"/>
        <v>417</v>
      </c>
    </row>
    <row r="491" spans="220:220" x14ac:dyDescent="0.35">
      <c r="HL491" s="1">
        <f t="shared" ca="1" si="89"/>
        <v>417</v>
      </c>
    </row>
    <row r="492" spans="220:220" x14ac:dyDescent="0.35">
      <c r="HL492" s="1">
        <f t="shared" ca="1" si="89"/>
        <v>417</v>
      </c>
    </row>
    <row r="493" spans="220:220" x14ac:dyDescent="0.35">
      <c r="HL493" s="1">
        <f t="shared" ca="1" si="89"/>
        <v>417</v>
      </c>
    </row>
    <row r="494" spans="220:220" x14ac:dyDescent="0.35">
      <c r="HL494" s="1">
        <f t="shared" ca="1" si="89"/>
        <v>417</v>
      </c>
    </row>
    <row r="495" spans="220:220" x14ac:dyDescent="0.35">
      <c r="HL495" s="1">
        <f t="shared" ca="1" si="89"/>
        <v>417</v>
      </c>
    </row>
    <row r="496" spans="220:220" x14ac:dyDescent="0.35">
      <c r="HL496" s="1">
        <f t="shared" ca="1" si="89"/>
        <v>417</v>
      </c>
    </row>
    <row r="497" spans="220:220" x14ac:dyDescent="0.35">
      <c r="HL497" s="1">
        <f t="shared" ca="1" si="89"/>
        <v>417</v>
      </c>
    </row>
    <row r="498" spans="220:220" x14ac:dyDescent="0.35">
      <c r="HL498" s="1">
        <f t="shared" ca="1" si="89"/>
        <v>417</v>
      </c>
    </row>
    <row r="499" spans="220:220" x14ac:dyDescent="0.35">
      <c r="HL499" s="1">
        <f t="shared" ca="1" si="89"/>
        <v>417</v>
      </c>
    </row>
    <row r="500" spans="220:220" x14ac:dyDescent="0.35">
      <c r="HL500" s="1">
        <f t="shared" ca="1" si="89"/>
        <v>417</v>
      </c>
    </row>
    <row r="501" spans="220:220" x14ac:dyDescent="0.35">
      <c r="HL501" s="1">
        <f t="shared" ca="1" si="89"/>
        <v>417</v>
      </c>
    </row>
    <row r="502" spans="220:220" x14ac:dyDescent="0.35">
      <c r="HL502" s="1">
        <f t="shared" ca="1" si="89"/>
        <v>417</v>
      </c>
    </row>
    <row r="503" spans="220:220" x14ac:dyDescent="0.35">
      <c r="HL503" s="1">
        <f t="shared" ca="1" si="89"/>
        <v>417</v>
      </c>
    </row>
    <row r="504" spans="220:220" x14ac:dyDescent="0.35">
      <c r="HL504" s="1">
        <f t="shared" ca="1" si="89"/>
        <v>417</v>
      </c>
    </row>
    <row r="505" spans="220:220" x14ac:dyDescent="0.35">
      <c r="HL505" s="1">
        <f t="shared" ca="1" si="89"/>
        <v>417</v>
      </c>
    </row>
    <row r="506" spans="220:220" x14ac:dyDescent="0.35">
      <c r="HL506" s="1">
        <f t="shared" ca="1" si="89"/>
        <v>417</v>
      </c>
    </row>
    <row r="507" spans="220:220" x14ac:dyDescent="0.35">
      <c r="HL507" s="1">
        <f t="shared" ca="1" si="89"/>
        <v>417</v>
      </c>
    </row>
    <row r="508" spans="220:220" x14ac:dyDescent="0.35">
      <c r="HL508" s="1">
        <f t="shared" ca="1" si="89"/>
        <v>417</v>
      </c>
    </row>
    <row r="509" spans="220:220" x14ac:dyDescent="0.35">
      <c r="HL509" s="1">
        <f t="shared" ca="1" si="89"/>
        <v>417</v>
      </c>
    </row>
    <row r="510" spans="220:220" x14ac:dyDescent="0.35">
      <c r="HL510" s="1">
        <f t="shared" ca="1" si="89"/>
        <v>417</v>
      </c>
    </row>
    <row r="511" spans="220:220" x14ac:dyDescent="0.35">
      <c r="HL511" s="1">
        <f t="shared" ca="1" si="89"/>
        <v>417</v>
      </c>
    </row>
    <row r="512" spans="220:220" x14ac:dyDescent="0.35">
      <c r="HL512" s="1">
        <f t="shared" ca="1" si="89"/>
        <v>417</v>
      </c>
    </row>
    <row r="513" spans="220:220" x14ac:dyDescent="0.35">
      <c r="HL513" s="1">
        <f t="shared" ca="1" si="89"/>
        <v>417</v>
      </c>
    </row>
    <row r="514" spans="220:220" x14ac:dyDescent="0.35">
      <c r="HL514" s="1">
        <f t="shared" ca="1" si="89"/>
        <v>417</v>
      </c>
    </row>
    <row r="515" spans="220:220" x14ac:dyDescent="0.35">
      <c r="HL515" s="1">
        <f t="shared" ca="1" si="89"/>
        <v>417</v>
      </c>
    </row>
    <row r="516" spans="220:220" x14ac:dyDescent="0.35">
      <c r="HL516" s="1">
        <f t="shared" ca="1" si="89"/>
        <v>417</v>
      </c>
    </row>
    <row r="517" spans="220:220" x14ac:dyDescent="0.35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6" priority="1" operator="containsText" text="Tarjet">
      <formula>NOT(ISERROR(SEARCH("Tarjet",A1)))</formula>
    </cfRule>
  </conditionalFormatting>
  <conditionalFormatting sqref="A37">
    <cfRule type="expression" dxfId="5" priority="2">
      <formula>IF(A37=DAY(TODAY()),TRUE,FALSE)</formula>
    </cfRule>
  </conditionalFormatting>
  <conditionalFormatting sqref="A35:C41 A1:A36 A38:A1048576">
    <cfRule type="containsText" dxfId="4" priority="3" operator="containsText" text="presta">
      <formula>NOT(ISERROR(SEARCH("presta",A1)))</formula>
    </cfRule>
  </conditionalFormatting>
  <conditionalFormatting sqref="B1:B1048576">
    <cfRule type="expression" dxfId="3" priority="4">
      <formula>IF(B1=DAY(TODAY()),TRUE,FALSE)</formula>
    </cfRule>
  </conditionalFormatting>
  <dataValidations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J1" zoomScaleNormal="100" workbookViewId="0">
      <pane ySplit="2" topLeftCell="A246" activePane="bottomLeft" state="frozen"/>
      <selection pane="bottomLeft" activeCell="Q248" sqref="Q248"/>
    </sheetView>
  </sheetViews>
  <sheetFormatPr baseColWidth="10" defaultColWidth="11.3984375" defaultRowHeight="17.649999999999999" outlineLevelCol="2" x14ac:dyDescent="0.5"/>
  <cols>
    <col min="1" max="1" width="12.265625" style="70" hidden="1" customWidth="1" outlineLevel="2"/>
    <col min="2" max="2" width="12.73046875" style="70" hidden="1" customWidth="1" outlineLevel="2"/>
    <col min="3" max="3" width="16.3984375" style="70" hidden="1" customWidth="1" outlineLevel="2"/>
    <col min="4" max="4" width="3.73046875" style="78" hidden="1" customWidth="1" outlineLevel="2"/>
    <col min="5" max="5" width="11.73046875" style="78" hidden="1" customWidth="1" outlineLevel="2"/>
    <col min="6" max="6" width="29.265625" style="78" hidden="1" customWidth="1" outlineLevel="2"/>
    <col min="7" max="7" width="13.73046875" style="78" hidden="1" customWidth="1" outlineLevel="2"/>
    <col min="8" max="8" width="16.265625" style="78" hidden="1" customWidth="1" outlineLevel="2"/>
    <col min="9" max="9" width="13.265625" style="78" hidden="1" customWidth="1" outlineLevel="2"/>
    <col min="10" max="10" width="2.73046875" style="78" customWidth="1" outlineLevel="1" collapsed="1"/>
    <col min="11" max="11" width="11.73046875" style="78" customWidth="1" outlineLevel="1"/>
    <col min="12" max="12" width="23" style="78" customWidth="1" outlineLevel="1"/>
    <col min="13" max="13" width="17" style="78" customWidth="1" outlineLevel="1"/>
    <col min="14" max="14" width="13.265625" style="78" customWidth="1" outlineLevel="1"/>
    <col min="15" max="15" width="1.265625" style="78" customWidth="1" outlineLevel="1"/>
    <col min="16" max="16" width="9.86328125" style="78" customWidth="1" outlineLevel="1"/>
    <col min="17" max="17" width="22.73046875" style="78" customWidth="1" outlineLevel="1"/>
    <col min="18" max="18" width="14.59765625" style="78" customWidth="1" outlineLevel="1"/>
    <col min="19" max="19" width="13.3984375" style="78" customWidth="1" outlineLevel="1"/>
    <col min="20" max="20" width="1.265625" style="78" customWidth="1"/>
    <col min="21" max="21" width="13.1328125" style="3" customWidth="1"/>
    <col min="22" max="22" width="27.1328125" style="1" bestFit="1" customWidth="1"/>
    <col min="23" max="23" width="15.73046875" style="93" bestFit="1" customWidth="1"/>
    <col min="24" max="24" width="17.3984375" style="1" customWidth="1"/>
    <col min="25" max="25" width="6.86328125" style="72" bestFit="1" customWidth="1"/>
    <col min="26" max="26" width="1.265625" style="78" customWidth="1"/>
    <col min="27" max="27" width="11.3984375" style="78"/>
    <col min="28" max="28" width="20.73046875" style="78" customWidth="1"/>
    <col min="29" max="29" width="7.86328125" style="78" customWidth="1"/>
    <col min="30" max="30" width="13.59765625" style="78" hidden="1" customWidth="1"/>
    <col min="31" max="33" width="11.3984375" style="78"/>
    <col min="34" max="34" width="15.73046875" style="78" bestFit="1" customWidth="1"/>
    <col min="35" max="35" width="11.3984375" style="78"/>
    <col min="36" max="36" width="13.73046875" style="78" bestFit="1" customWidth="1"/>
    <col min="37" max="16384" width="11.3984375" style="78"/>
  </cols>
  <sheetData>
    <row r="1" spans="1:36" s="66" customFormat="1" ht="18" thickBot="1" x14ac:dyDescent="0.5">
      <c r="E1" s="167" t="s">
        <v>89</v>
      </c>
      <c r="F1" s="168"/>
      <c r="G1" s="168"/>
      <c r="H1" s="168"/>
      <c r="I1" s="169"/>
      <c r="K1" s="150" t="s">
        <v>92</v>
      </c>
      <c r="L1" s="151"/>
      <c r="M1" s="151"/>
      <c r="N1" s="152"/>
      <c r="P1" s="150" t="s">
        <v>93</v>
      </c>
      <c r="Q1" s="151"/>
      <c r="R1" s="151"/>
      <c r="S1" s="152"/>
      <c r="U1" s="147" t="s">
        <v>100</v>
      </c>
      <c r="V1" s="148"/>
      <c r="W1" s="148"/>
      <c r="X1" s="149"/>
      <c r="Y1" s="67"/>
      <c r="AA1" s="165" t="s">
        <v>139</v>
      </c>
      <c r="AB1" s="16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4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3.9" x14ac:dyDescent="0.4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88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46113</v>
      </c>
      <c r="V3" s="1" t="str">
        <v>Sueldos</v>
      </c>
      <c r="W3" s="119">
        <v>3261850</v>
      </c>
      <c r="X3" s="92" t="str">
        <v>Sueldos</v>
      </c>
      <c r="Y3" s="82">
        <f t="shared" ref="Y3" si="1">IF(W3="",0,W3/$AB$7)</f>
        <v>5.4011271940919509E-2</v>
      </c>
      <c r="AA3" s="94" t="str" cm="1">
        <f t="array" ref="AA3:AA6">_xlfn._xlws.FILTER(_xlfn.UNIQUE(X3:X5001),_xlfn.UNIQUE(X3:X5001)&lt;&gt;0)</f>
        <v>Sueldos</v>
      </c>
      <c r="AB3" s="95">
        <f>+SUMIFS($W$3:W5001,$X$3:X5001,AA3)</f>
        <v>10642315</v>
      </c>
      <c r="AC3" s="98">
        <f t="shared" ref="AC3:AC6" si="2">+AB3/$AB$7</f>
        <v>0.17622054035161849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3.9" x14ac:dyDescent="0.4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46113</v>
      </c>
      <c r="V4" s="1" t="str">
        <v>Tarjeta Galicia - VISA</v>
      </c>
      <c r="W4" s="132">
        <v>717341</v>
      </c>
      <c r="X4" s="92" t="str">
        <v>GFijos</v>
      </c>
      <c r="Y4" s="82"/>
      <c r="AA4" s="94" t="str">
        <v>GFijos</v>
      </c>
      <c r="AB4" s="95">
        <f>+SUMIFS($W$3:W5002,$X$3:X5002,AA4)</f>
        <v>12659847.77</v>
      </c>
      <c r="AC4" s="98">
        <f t="shared" si="2"/>
        <v>0.20962781263274319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3.9" x14ac:dyDescent="0.4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46113</v>
      </c>
      <c r="V5" s="1" t="str">
        <v>Tarjeta ICBC</v>
      </c>
      <c r="W5" s="91">
        <v>364040.33</v>
      </c>
      <c r="X5" s="92" t="str">
        <v>GFijos</v>
      </c>
      <c r="Y5" s="82"/>
      <c r="AA5" s="94" t="str">
        <v>Mercaderia</v>
      </c>
      <c r="AB5" s="95">
        <f>+SUMIFS($W$3:W5003,$X$3:X5003,AA5)</f>
        <v>30170703.900000006</v>
      </c>
      <c r="AC5" s="98">
        <f t="shared" si="2"/>
        <v>0.49958094118118895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4.25" thickBot="1" x14ac:dyDescent="0.45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46113</v>
      </c>
      <c r="V6" s="1" t="str">
        <v>Autonomo</v>
      </c>
      <c r="W6" s="4">
        <v>90342</v>
      </c>
      <c r="X6" s="92" t="str">
        <v>GFijos</v>
      </c>
      <c r="Y6" s="82"/>
      <c r="AA6" s="96" t="str">
        <v>GVarios</v>
      </c>
      <c r="AB6" s="97">
        <f>+SUMIFS($W$3:W5004,$X$3:X5004,AA6)</f>
        <v>6919156.75</v>
      </c>
      <c r="AC6" s="98">
        <f t="shared" si="2"/>
        <v>0.11457070583444942</v>
      </c>
      <c r="AD6" s="76">
        <f t="shared" si="3"/>
        <v>46082</v>
      </c>
      <c r="AG6" s="79" t="str">
        <v>abril</v>
      </c>
      <c r="AH6" s="81">
        <v>60392023.420000002</v>
      </c>
    </row>
    <row r="7" spans="1:36" ht="14.25" thickBot="1" x14ac:dyDescent="0.45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46113</v>
      </c>
      <c r="V7" s="1" t="str">
        <v>Monotributo IVAN</v>
      </c>
      <c r="W7" s="119">
        <v>52280</v>
      </c>
      <c r="X7" s="92" t="str">
        <v>GFijos</v>
      </c>
      <c r="Y7" s="82"/>
      <c r="AA7" s="83" t="s">
        <v>97</v>
      </c>
      <c r="AB7" s="100">
        <f>+SUM(AB3:AB6)</f>
        <v>60392023.420000002</v>
      </c>
      <c r="AD7" s="76">
        <f t="shared" si="3"/>
        <v>46113</v>
      </c>
      <c r="AG7" s="79" t="str">
        <v>mayo</v>
      </c>
      <c r="AH7" s="81">
        <v>5843277.1899999995</v>
      </c>
    </row>
    <row r="8" spans="1:36" ht="13.9" x14ac:dyDescent="0.4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46113</v>
      </c>
      <c r="V8" s="1" t="str">
        <v>Monotributo Mayeski</v>
      </c>
      <c r="W8" s="119">
        <v>52280</v>
      </c>
      <c r="X8" s="92" t="str">
        <v>GFijos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3.9" x14ac:dyDescent="0.4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46113</v>
      </c>
      <c r="V9" s="1" t="str">
        <v>Monotributo David</v>
      </c>
      <c r="W9" s="91">
        <v>42246</v>
      </c>
      <c r="X9" s="92" t="str">
        <v>GFijos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3.9" x14ac:dyDescent="0.4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46113</v>
      </c>
      <c r="V10" s="1" t="str">
        <v>Movistar</v>
      </c>
      <c r="W10" s="91">
        <v>10350</v>
      </c>
      <c r="X10" s="92" t="str">
        <v>GFijos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4212852.75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3.9" x14ac:dyDescent="0.4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46113</v>
      </c>
      <c r="V11" s="1" t="str">
        <v>Victoria Seguros</v>
      </c>
      <c r="W11" s="91">
        <v>123878</v>
      </c>
      <c r="X11" s="92" t="str">
        <v>GFijos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290000</v>
      </c>
      <c r="AD11" s="76">
        <f t="shared" si="3"/>
        <v>46235</v>
      </c>
      <c r="AG11" s="79" t="str">
        <v>septiembre</v>
      </c>
      <c r="AH11" s="81" t="e" vm="1">
        <v>#VALUE!</v>
      </c>
    </row>
    <row r="12" spans="1:36" ht="13.9" x14ac:dyDescent="0.4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>
        <v>46113</v>
      </c>
      <c r="V12" s="1" t="str">
        <v>Surplas</v>
      </c>
      <c r="W12" s="156">
        <v>252000</v>
      </c>
      <c r="X12" s="92" t="str">
        <v>Mercaderia</v>
      </c>
      <c r="Y12" s="82"/>
      <c r="AB12" s="153">
        <f>+AB10+AB11</f>
        <v>4502852.75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3.9" x14ac:dyDescent="0.4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>
        <v>46113</v>
      </c>
      <c r="V13" s="1" t="str">
        <v>Fader Plastic</v>
      </c>
      <c r="W13" s="91">
        <v>1339600</v>
      </c>
      <c r="X13" s="92" t="str">
        <v>Mercaderia</v>
      </c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3.9" x14ac:dyDescent="0.4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>
        <v>46113</v>
      </c>
      <c r="V14" s="1" t="str">
        <v>ROBER</v>
      </c>
      <c r="W14" s="91">
        <v>400000</v>
      </c>
      <c r="X14" s="92" t="str">
        <v>Mercaderia</v>
      </c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3.9" x14ac:dyDescent="0.4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>
        <v>46113</v>
      </c>
      <c r="V15" s="1" t="str">
        <v>ROBER</v>
      </c>
      <c r="W15" s="91">
        <v>139044</v>
      </c>
      <c r="X15" s="92" t="str">
        <v>Mercaderia</v>
      </c>
      <c r="Y15" s="82"/>
      <c r="AD15" s="76">
        <f t="shared" si="3"/>
        <v>46357</v>
      </c>
      <c r="AE15" s="79"/>
    </row>
    <row r="16" spans="1:36" ht="13.9" x14ac:dyDescent="0.4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>
        <v>46113</v>
      </c>
      <c r="V16" s="1" t="str">
        <v>REGAPLAS</v>
      </c>
      <c r="W16" s="156">
        <v>104000</v>
      </c>
      <c r="X16" s="92" t="str">
        <v>Mercaderia</v>
      </c>
      <c r="Y16" s="82"/>
      <c r="AB16" s="101"/>
      <c r="AD16" s="76">
        <f t="shared" si="3"/>
        <v>46388</v>
      </c>
      <c r="AE16" s="79"/>
    </row>
    <row r="17" spans="1:31" ht="13.9" x14ac:dyDescent="0.4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>
        <v>46113</v>
      </c>
      <c r="V17" s="1" t="str">
        <v>Walter Gavetas</v>
      </c>
      <c r="W17" s="91">
        <v>215872</v>
      </c>
      <c r="X17" s="92" t="str">
        <v>Mercaderia</v>
      </c>
      <c r="Y17" s="82"/>
      <c r="AD17" s="76">
        <f t="shared" si="3"/>
        <v>46419</v>
      </c>
      <c r="AE17" s="79"/>
    </row>
    <row r="18" spans="1:31" ht="13.9" x14ac:dyDescent="0.4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>
        <v>46113</v>
      </c>
      <c r="V18" s="1" t="str">
        <v>ArgenBroker</v>
      </c>
      <c r="W18" s="91">
        <v>244779</v>
      </c>
      <c r="X18" s="92" t="str">
        <v>Mercaderia</v>
      </c>
      <c r="Y18" s="82"/>
      <c r="AE18" s="79"/>
    </row>
    <row r="19" spans="1:31" ht="13.9" x14ac:dyDescent="0.4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>
        <v>46113</v>
      </c>
      <c r="V19" s="1" t="str">
        <v>Bateria Moura Parnet</v>
      </c>
      <c r="W19" s="91">
        <v>220000</v>
      </c>
      <c r="X19" s="92" t="str">
        <v>GVarios</v>
      </c>
      <c r="Y19" s="82"/>
      <c r="AE19" s="79"/>
    </row>
    <row r="20" spans="1:31" ht="13.9" x14ac:dyDescent="0.4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>
        <v>46113</v>
      </c>
      <c r="V20" s="1" t="str">
        <v>Embolsado de Carbones</v>
      </c>
      <c r="W20" s="91">
        <v>34000</v>
      </c>
      <c r="X20" s="92" t="str">
        <v>GVarios</v>
      </c>
      <c r="Y20" s="82"/>
      <c r="AB20" s="84"/>
      <c r="AE20" s="79"/>
    </row>
    <row r="21" spans="1:31" ht="13.9" x14ac:dyDescent="0.4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>
        <v>46113</v>
      </c>
      <c r="V21" s="1" t="str">
        <v>Gabi consumibles</v>
      </c>
      <c r="W21" s="91">
        <v>11200</v>
      </c>
      <c r="X21" s="92" t="str">
        <v>GVarios</v>
      </c>
      <c r="Y21" s="82"/>
      <c r="AE21" s="79"/>
    </row>
    <row r="22" spans="1:31" ht="13.9" x14ac:dyDescent="0.4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>
        <v>46113</v>
      </c>
      <c r="V22" s="1" t="str">
        <v>GNC Corsa</v>
      </c>
      <c r="W22" s="91">
        <v>9000</v>
      </c>
      <c r="X22" s="92" t="str">
        <v>GVarios</v>
      </c>
      <c r="Y22" s="82"/>
      <c r="AE22" s="79"/>
    </row>
    <row r="23" spans="1:31" ht="13.9" x14ac:dyDescent="0.4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>
        <v>46114</v>
      </c>
      <c r="V23" s="1" t="str">
        <v>Aseg. Motovehicular</v>
      </c>
      <c r="W23" s="91">
        <v>141512.71</v>
      </c>
      <c r="X23" s="92" t="str">
        <v>GFijos</v>
      </c>
      <c r="Y23" s="82"/>
      <c r="AE23" s="79"/>
    </row>
    <row r="24" spans="1:31" ht="13.9" x14ac:dyDescent="0.4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>
        <v>46114</v>
      </c>
      <c r="V24" s="1" t="str">
        <v>Naza Obra</v>
      </c>
      <c r="W24" s="91">
        <v>300000</v>
      </c>
      <c r="X24" s="92" t="str">
        <v>GVarios</v>
      </c>
      <c r="Y24" s="82"/>
      <c r="AE24" s="79"/>
    </row>
    <row r="25" spans="1:31" ht="13.9" x14ac:dyDescent="0.4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>
        <v>46114</v>
      </c>
      <c r="V25" s="1" t="str">
        <v>Naza Obra</v>
      </c>
      <c r="W25" s="155">
        <v>150000</v>
      </c>
      <c r="X25" s="92" t="str">
        <v>GVarios</v>
      </c>
      <c r="Y25" s="82"/>
      <c r="AE25" s="79"/>
    </row>
    <row r="26" spans="1:31" ht="13.9" x14ac:dyDescent="0.4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>
        <v>46115</v>
      </c>
      <c r="V26" s="1" t="str">
        <v>Endosado ALNAT</v>
      </c>
      <c r="W26" s="91">
        <v>400000</v>
      </c>
      <c r="X26" s="92" t="str">
        <v>Mercaderia</v>
      </c>
      <c r="Y26" s="82"/>
      <c r="AE26" s="79"/>
    </row>
    <row r="27" spans="1:31" ht="13.9" x14ac:dyDescent="0.4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>
        <v>46115</v>
      </c>
      <c r="V27" s="1" t="str">
        <v>Naza Obra</v>
      </c>
      <c r="W27" s="91">
        <v>200000</v>
      </c>
      <c r="X27" s="92" t="str">
        <v>GVarios</v>
      </c>
      <c r="Y27" s="82"/>
      <c r="AE27" s="79"/>
    </row>
    <row r="28" spans="1:31" ht="13.9" x14ac:dyDescent="0.4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>
        <v>46116</v>
      </c>
      <c r="V28" s="1" t="str">
        <v>Endosado ALU-MAQ</v>
      </c>
      <c r="W28" s="156">
        <v>302332</v>
      </c>
      <c r="X28" s="92" t="str">
        <v>Mercaderia</v>
      </c>
      <c r="Y28" s="82"/>
      <c r="AE28" s="79"/>
    </row>
    <row r="29" spans="1:31" ht="13.9" x14ac:dyDescent="0.4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>
        <v>46117</v>
      </c>
      <c r="V29" s="1" t="str">
        <v>Endosado ALU-MAQ</v>
      </c>
      <c r="W29" s="91">
        <v>306041.12</v>
      </c>
      <c r="X29" s="92" t="str">
        <v>Mercaderia</v>
      </c>
      <c r="Y29" s="82"/>
      <c r="AE29" s="79"/>
    </row>
    <row r="30" spans="1:31" ht="13.9" x14ac:dyDescent="0.4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>
        <v>46118</v>
      </c>
      <c r="V30" s="1" t="str">
        <v>Tarjeta Galicia + MASTER</v>
      </c>
      <c r="W30" s="91">
        <v>40000</v>
      </c>
      <c r="X30" s="92" t="str">
        <v>GFijos</v>
      </c>
      <c r="Y30" s="82"/>
      <c r="AB30" s="84"/>
      <c r="AE30" s="79"/>
    </row>
    <row r="31" spans="1:31" ht="13.9" x14ac:dyDescent="0.4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>
        <v>46118</v>
      </c>
      <c r="V31" s="1" t="str">
        <v>GNC Corsa</v>
      </c>
      <c r="W31" s="91">
        <v>10856</v>
      </c>
      <c r="X31" s="92" t="str">
        <v>GVarios</v>
      </c>
      <c r="Y31" s="82"/>
      <c r="AE31" s="79"/>
    </row>
    <row r="32" spans="1:31" ht="13.9" x14ac:dyDescent="0.4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>
        <v>46118</v>
      </c>
      <c r="V32" s="1" t="str">
        <v>Gabi consumibles</v>
      </c>
      <c r="W32" s="91">
        <v>5099</v>
      </c>
      <c r="X32" s="92" t="str">
        <v>GVarios</v>
      </c>
      <c r="Y32" s="82"/>
      <c r="AE32" s="79"/>
    </row>
    <row r="33" spans="1:31" ht="13.9" x14ac:dyDescent="0.4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>
        <v>46119</v>
      </c>
      <c r="V33" s="1" t="str">
        <v>Alnat</v>
      </c>
      <c r="W33" s="132">
        <v>360569.22</v>
      </c>
      <c r="X33" s="92" t="str">
        <v>Mercaderia</v>
      </c>
      <c r="Y33" s="82"/>
      <c r="AE33" s="79"/>
    </row>
    <row r="34" spans="1:31" ht="13.9" x14ac:dyDescent="0.4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>
        <v>46119</v>
      </c>
      <c r="V34" s="1" t="str">
        <v>Cincado</v>
      </c>
      <c r="W34" s="91">
        <v>66000</v>
      </c>
      <c r="X34" s="92" t="str">
        <v>Mercaderia</v>
      </c>
      <c r="Y34" s="82"/>
      <c r="AE34" s="79"/>
    </row>
    <row r="35" spans="1:31" ht="13.9" x14ac:dyDescent="0.4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>
        <v>46119</v>
      </c>
      <c r="V35" s="1" t="str">
        <v>ALU-MAQ</v>
      </c>
      <c r="W35" s="91">
        <v>266253.34999999998</v>
      </c>
      <c r="X35" s="92" t="str">
        <v>Mercaderia</v>
      </c>
      <c r="Y35" s="82"/>
      <c r="AE35" s="79"/>
    </row>
    <row r="36" spans="1:31" ht="13.9" x14ac:dyDescent="0.4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>
        <v>46120</v>
      </c>
      <c r="V36" s="1" t="str">
        <v>Tarjeta Santander Rio - VISA</v>
      </c>
      <c r="W36" s="132">
        <v>1358053.78</v>
      </c>
      <c r="X36" s="92" t="str">
        <v>GFijos</v>
      </c>
      <c r="Y36" s="82"/>
      <c r="AE36" s="79"/>
    </row>
    <row r="37" spans="1:31" ht="13.9" x14ac:dyDescent="0.4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>
        <v>46120</v>
      </c>
      <c r="V37" s="1" t="str">
        <v>Endosado METALGRAB</v>
      </c>
      <c r="W37" s="132">
        <v>1680047.15</v>
      </c>
      <c r="X37" s="92" t="str">
        <v>Mercaderia</v>
      </c>
      <c r="Y37" s="82"/>
      <c r="AE37" s="79"/>
    </row>
    <row r="38" spans="1:31" ht="13.9" x14ac:dyDescent="0.4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>
        <v>46120</v>
      </c>
      <c r="V38" s="1" t="str">
        <v>Neplastic</v>
      </c>
      <c r="W38" s="91">
        <v>425000</v>
      </c>
      <c r="X38" s="92" t="str">
        <v>Mercaderia</v>
      </c>
      <c r="Y38" s="82"/>
      <c r="AE38" s="79"/>
    </row>
    <row r="39" spans="1:31" ht="13.9" x14ac:dyDescent="0.4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>
        <v>46120</v>
      </c>
      <c r="V39" s="1" t="str">
        <v>Walter Gavetas</v>
      </c>
      <c r="W39" s="91">
        <v>400000</v>
      </c>
      <c r="X39" s="92" t="str">
        <v>Mercaderia</v>
      </c>
      <c r="Y39" s="82"/>
      <c r="AE39" s="79"/>
    </row>
    <row r="40" spans="1:31" ht="13.9" x14ac:dyDescent="0.4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>
        <v>46120</v>
      </c>
      <c r="V40" s="1" t="str">
        <v>Claudio Resortes</v>
      </c>
      <c r="W40" s="91">
        <v>550680</v>
      </c>
      <c r="X40" s="92" t="str">
        <v>Mercaderia</v>
      </c>
      <c r="Y40" s="82"/>
      <c r="AE40" s="79"/>
    </row>
    <row r="41" spans="1:31" ht="13.9" x14ac:dyDescent="0.4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>
        <v>46120</v>
      </c>
      <c r="V41" s="1" t="str">
        <v>Juan Regatones</v>
      </c>
      <c r="W41" s="91">
        <v>131300</v>
      </c>
      <c r="X41" s="92" t="str">
        <v>Mercaderia</v>
      </c>
      <c r="Y41" s="82"/>
      <c r="AE41" s="79"/>
    </row>
    <row r="42" spans="1:31" ht="13.9" x14ac:dyDescent="0.4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>
        <v>46120</v>
      </c>
      <c r="V42" s="1" t="str">
        <v>MetalGrab</v>
      </c>
      <c r="W42" s="132">
        <v>1680047.15</v>
      </c>
      <c r="X42" s="92" t="str">
        <v>Mercaderia</v>
      </c>
      <c r="Y42" s="82"/>
      <c r="AE42" s="79"/>
    </row>
    <row r="43" spans="1:31" ht="13.9" x14ac:dyDescent="0.4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>
        <v>46120</v>
      </c>
      <c r="V43" s="1" t="str">
        <v>Naza Obra</v>
      </c>
      <c r="W43" s="91">
        <v>300000</v>
      </c>
      <c r="X43" s="92" t="str">
        <v>GVarios</v>
      </c>
      <c r="Y43" s="82"/>
      <c r="AE43" s="79"/>
    </row>
    <row r="44" spans="1:31" ht="13.9" x14ac:dyDescent="0.4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>
        <v>46120</v>
      </c>
      <c r="V44" s="1" t="str">
        <v>Hotel Expo</v>
      </c>
      <c r="W44" s="91">
        <v>280000</v>
      </c>
      <c r="X44" s="92" t="str">
        <v>GVarios</v>
      </c>
      <c r="Y44" s="82"/>
      <c r="AE44" s="79"/>
    </row>
    <row r="45" spans="1:31" ht="13.9" x14ac:dyDescent="0.4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>
        <v>46120</v>
      </c>
      <c r="V45" s="1" t="str">
        <v>Papelera</v>
      </c>
      <c r="W45" s="91">
        <v>110900</v>
      </c>
      <c r="X45" s="92" t="str">
        <v>GVarios</v>
      </c>
      <c r="Y45" s="82"/>
      <c r="AE45" s="79"/>
    </row>
    <row r="46" spans="1:31" ht="13.9" x14ac:dyDescent="0.4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>
        <v>46120</v>
      </c>
      <c r="V46" s="1" t="str">
        <v>Mecanico Corsa</v>
      </c>
      <c r="W46" s="91">
        <v>650000</v>
      </c>
      <c r="X46" s="92" t="str">
        <v>GVarios</v>
      </c>
      <c r="Y46" s="82"/>
      <c r="AE46" s="79"/>
    </row>
    <row r="47" spans="1:31" ht="13.9" x14ac:dyDescent="0.4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>
        <v>46120</v>
      </c>
      <c r="V47" s="1" t="str">
        <v>GNC Corsa</v>
      </c>
      <c r="W47" s="91">
        <v>8000</v>
      </c>
      <c r="X47" s="92" t="str">
        <v>GVarios</v>
      </c>
      <c r="Y47" s="82"/>
      <c r="AE47" s="79"/>
    </row>
    <row r="48" spans="1:31" ht="13.9" x14ac:dyDescent="0.4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>
        <v>46121</v>
      </c>
      <c r="V48" s="1" t="str">
        <v>Tarjeta Santander Rio - AMEX</v>
      </c>
      <c r="W48" s="91">
        <v>41238.629999999997</v>
      </c>
      <c r="X48" s="92" t="str">
        <v>GFijos</v>
      </c>
      <c r="Y48" s="82"/>
      <c r="AE48" s="79"/>
    </row>
    <row r="49" spans="1:31" ht="13.9" x14ac:dyDescent="0.4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>
        <v>46121</v>
      </c>
      <c r="V49" s="1" t="str">
        <v>ALU-MAQ</v>
      </c>
      <c r="W49" s="91">
        <v>440850</v>
      </c>
      <c r="X49" s="92" t="str">
        <v>Mercaderia</v>
      </c>
      <c r="Y49" s="82"/>
      <c r="AE49" s="79"/>
    </row>
    <row r="50" spans="1:31" ht="13.9" x14ac:dyDescent="0.4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>
        <v>46122</v>
      </c>
      <c r="V50" s="1" t="str">
        <v>Sueldos</v>
      </c>
      <c r="W50" s="91">
        <v>1740000</v>
      </c>
      <c r="X50" s="92" t="str">
        <v>Sueldos</v>
      </c>
      <c r="Y50" s="82"/>
      <c r="AE50" s="79"/>
    </row>
    <row r="51" spans="1:31" ht="13.9" x14ac:dyDescent="0.4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>
        <v>46122</v>
      </c>
      <c r="V51" s="1" t="str">
        <v>Alquiler Distribuidora</v>
      </c>
      <c r="W51" s="91">
        <v>600000</v>
      </c>
      <c r="X51" s="92" t="str">
        <v>GFijos</v>
      </c>
      <c r="Y51" s="82"/>
      <c r="AE51" s="79"/>
    </row>
    <row r="52" spans="1:31" ht="13.9" x14ac:dyDescent="0.4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>
        <v>46122</v>
      </c>
      <c r="V52" s="1" t="str">
        <v>Alquiler Casa</v>
      </c>
      <c r="W52" s="91">
        <v>350000</v>
      </c>
      <c r="X52" s="92" t="str">
        <v>GFijos</v>
      </c>
      <c r="Y52" s="82"/>
      <c r="AE52" s="79"/>
    </row>
    <row r="53" spans="1:31" ht="13.9" x14ac:dyDescent="0.4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>
        <v>46122</v>
      </c>
      <c r="V53" s="1" t="str">
        <v>Mel diseño grafico</v>
      </c>
      <c r="W53" s="132">
        <v>430000</v>
      </c>
      <c r="X53" s="92" t="str">
        <v>GFijos</v>
      </c>
      <c r="Y53" s="82"/>
      <c r="AE53" s="79"/>
    </row>
    <row r="54" spans="1:31" ht="13.9" x14ac:dyDescent="0.4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>
        <v>46122</v>
      </c>
      <c r="V54" s="1" t="str">
        <v>Contador</v>
      </c>
      <c r="W54" s="132">
        <v>165000</v>
      </c>
      <c r="X54" s="92" t="str">
        <v>GFijos</v>
      </c>
      <c r="Y54" s="82"/>
      <c r="AE54" s="79"/>
    </row>
    <row r="55" spans="1:31" ht="13.9" x14ac:dyDescent="0.4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>
        <v>46122</v>
      </c>
      <c r="V55" s="1" t="str">
        <v>Cargas Sociales</v>
      </c>
      <c r="W55" s="143">
        <v>831762</v>
      </c>
      <c r="X55" s="92" t="str">
        <v>GFijos</v>
      </c>
      <c r="Y55" s="82"/>
      <c r="AE55" s="79"/>
    </row>
    <row r="56" spans="1:31" ht="13.9" x14ac:dyDescent="0.4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>
        <v>46122</v>
      </c>
      <c r="V56" s="1" t="str">
        <v>Endosado ALNAT</v>
      </c>
      <c r="W56" s="144">
        <v>400000</v>
      </c>
      <c r="X56" s="92" t="str">
        <v>Mercaderia</v>
      </c>
      <c r="Y56" s="82"/>
      <c r="AE56" s="79"/>
    </row>
    <row r="57" spans="1:31" ht="13.9" x14ac:dyDescent="0.4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>
        <v>46122</v>
      </c>
      <c r="V57" s="1" t="str">
        <v>Walter Gavetas</v>
      </c>
      <c r="W57" s="91">
        <v>200000</v>
      </c>
      <c r="X57" s="92" t="str">
        <v>Mercaderia</v>
      </c>
      <c r="Y57" s="82"/>
      <c r="AE57" s="79"/>
    </row>
    <row r="58" spans="1:31" ht="13.9" x14ac:dyDescent="0.4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>
        <v>46122</v>
      </c>
      <c r="V58" s="1" t="str">
        <v>Jorge Carbon</v>
      </c>
      <c r="W58" s="91">
        <v>211500</v>
      </c>
      <c r="X58" s="92" t="str">
        <v>Mercaderia</v>
      </c>
      <c r="Y58" s="82"/>
      <c r="AE58" s="79"/>
    </row>
    <row r="59" spans="1:31" ht="13.9" x14ac:dyDescent="0.4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>
        <v>46122</v>
      </c>
      <c r="V59" s="1" t="str">
        <v>Rober</v>
      </c>
      <c r="W59" s="91">
        <v>273400</v>
      </c>
      <c r="X59" s="92" t="str">
        <v>Mercaderia</v>
      </c>
      <c r="Y59" s="82"/>
      <c r="AE59" s="79"/>
    </row>
    <row r="60" spans="1:31" ht="13.9" x14ac:dyDescent="0.4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>
        <v>46122</v>
      </c>
      <c r="V60" s="1" t="str">
        <v>Carccione</v>
      </c>
      <c r="W60" s="91">
        <v>93000</v>
      </c>
      <c r="X60" s="92" t="str">
        <v>Mercaderia</v>
      </c>
      <c r="Y60" s="82"/>
      <c r="AE60" s="79"/>
    </row>
    <row r="61" spans="1:31" ht="13.9" x14ac:dyDescent="0.4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>
        <v>46122</v>
      </c>
      <c r="V61" s="1" t="str">
        <v>GNC Corsa</v>
      </c>
      <c r="W61" s="91">
        <v>8400</v>
      </c>
      <c r="X61" s="92" t="str">
        <v>GVarios</v>
      </c>
      <c r="Y61" s="82"/>
      <c r="AE61" s="79"/>
    </row>
    <row r="62" spans="1:31" ht="13.9" x14ac:dyDescent="0.4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>
        <v>46122</v>
      </c>
      <c r="V62" s="1" t="str">
        <v>Gabi consumibles</v>
      </c>
      <c r="W62" s="91">
        <v>14000</v>
      </c>
      <c r="X62" s="146" t="str">
        <v>GVarios</v>
      </c>
      <c r="Y62" s="82"/>
      <c r="AE62" s="79"/>
    </row>
    <row r="63" spans="1:31" ht="13.9" x14ac:dyDescent="0.4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>
        <v>46122</v>
      </c>
      <c r="V63" s="1" t="str">
        <v>Naza Obra</v>
      </c>
      <c r="W63" s="132">
        <v>300000</v>
      </c>
      <c r="X63" s="92" t="str">
        <v>GVarios</v>
      </c>
      <c r="Y63" s="82"/>
      <c r="AE63" s="79"/>
    </row>
    <row r="64" spans="1:31" ht="13.9" x14ac:dyDescent="0.4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>
        <v>46122</v>
      </c>
      <c r="V64" s="1" t="str">
        <v>Combustible Corsa</v>
      </c>
      <c r="W64" s="132">
        <v>40000</v>
      </c>
      <c r="X64" s="3" t="str">
        <v>GVarios</v>
      </c>
      <c r="Y64" s="82"/>
      <c r="AE64" s="79"/>
    </row>
    <row r="65" spans="5:31" ht="13.9" x14ac:dyDescent="0.4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>
        <v>46123</v>
      </c>
      <c r="V65" s="1" t="str">
        <v>Naza Obra</v>
      </c>
      <c r="W65" s="91">
        <v>500000</v>
      </c>
      <c r="X65" s="3" t="str">
        <v>GVarios</v>
      </c>
      <c r="Y65" s="82"/>
      <c r="AE65" s="79"/>
    </row>
    <row r="66" spans="5:31" ht="13.9" x14ac:dyDescent="0.4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>
        <v>46125</v>
      </c>
      <c r="V66" s="1" t="str">
        <v>Combustible Parnet</v>
      </c>
      <c r="W66" s="91">
        <v>160000</v>
      </c>
      <c r="X66" s="3" t="str">
        <v>GVarios</v>
      </c>
      <c r="Y66" s="82"/>
      <c r="AE66" s="79"/>
    </row>
    <row r="67" spans="5:31" ht="13.9" x14ac:dyDescent="0.4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>
        <v>46126</v>
      </c>
      <c r="V67" s="1" t="str">
        <v>Prestamo Galicia - SGR</v>
      </c>
      <c r="W67" s="91">
        <v>1582000</v>
      </c>
      <c r="X67" s="3" t="str">
        <v>GFijos</v>
      </c>
      <c r="Y67" s="82"/>
      <c r="AE67" s="79"/>
    </row>
    <row r="68" spans="5:31" ht="13.9" x14ac:dyDescent="0.4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>
        <v>46126</v>
      </c>
      <c r="V68" s="1" t="str">
        <v>Ruben Listones</v>
      </c>
      <c r="W68" s="91">
        <v>48000</v>
      </c>
      <c r="X68" s="3" t="str">
        <v>Mercaderia</v>
      </c>
      <c r="Y68" s="82"/>
      <c r="AE68" s="79"/>
    </row>
    <row r="69" spans="5:31" ht="13.9" x14ac:dyDescent="0.4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>
        <v>46126</v>
      </c>
      <c r="V69" s="1" t="str">
        <v>Otia</v>
      </c>
      <c r="W69" s="91">
        <v>137347</v>
      </c>
      <c r="X69" s="3" t="str">
        <v>Mercaderia</v>
      </c>
      <c r="Y69" s="82"/>
      <c r="AE69" s="79"/>
    </row>
    <row r="70" spans="5:31" ht="13.9" x14ac:dyDescent="0.4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>
        <v>46126</v>
      </c>
      <c r="V70" s="1" t="str">
        <v>Chavetas Kaz</v>
      </c>
      <c r="W70" s="91">
        <v>70727.070000000007</v>
      </c>
      <c r="X70" s="3" t="str">
        <v>Mercaderia</v>
      </c>
      <c r="Y70" s="82"/>
      <c r="AE70" s="79"/>
    </row>
    <row r="71" spans="5:31" ht="13.9" x14ac:dyDescent="0.4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>
        <v>46126</v>
      </c>
      <c r="V71" s="1" t="str">
        <v>ALU-MAQ</v>
      </c>
      <c r="W71" s="91">
        <v>75811.340000000026</v>
      </c>
      <c r="X71" s="3" t="str">
        <v>Mercaderia</v>
      </c>
      <c r="Y71" s="82"/>
      <c r="AE71" s="79"/>
    </row>
    <row r="72" spans="5:31" ht="13.9" x14ac:dyDescent="0.4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>
        <v>46126</v>
      </c>
      <c r="V72" s="1" t="str">
        <v>ArgenBroker</v>
      </c>
      <c r="W72" s="91">
        <v>300000</v>
      </c>
      <c r="X72" s="3" t="str">
        <v>Mercaderia</v>
      </c>
      <c r="Y72" s="82"/>
      <c r="AE72" s="79"/>
    </row>
    <row r="73" spans="5:31" ht="13.9" x14ac:dyDescent="0.4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>
        <v>46126</v>
      </c>
      <c r="V73" s="1" t="str">
        <v>Toner - Cian y magenta</v>
      </c>
      <c r="W73" s="132">
        <v>210000</v>
      </c>
      <c r="X73" s="3" t="str">
        <v>GVarios</v>
      </c>
      <c r="Y73" s="82"/>
      <c r="AE73" s="79"/>
    </row>
    <row r="74" spans="5:31" ht="13.9" x14ac:dyDescent="0.4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>
        <v>46126</v>
      </c>
      <c r="V74" s="1" t="str">
        <v>GNC Corsa</v>
      </c>
      <c r="W74" s="132">
        <v>7565</v>
      </c>
      <c r="X74" s="3" t="str">
        <v>GVarios</v>
      </c>
      <c r="Y74" s="82"/>
      <c r="AE74" s="79"/>
    </row>
    <row r="75" spans="5:31" ht="13.9" x14ac:dyDescent="0.4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>
        <v>46126</v>
      </c>
      <c r="V75" s="1" t="str">
        <v>Gabi consumibles</v>
      </c>
      <c r="W75" s="91">
        <v>8000</v>
      </c>
      <c r="X75" s="3" t="str">
        <v>GVarios</v>
      </c>
      <c r="Y75" s="82"/>
      <c r="AE75" s="79"/>
    </row>
    <row r="76" spans="5:31" ht="13.9" x14ac:dyDescent="0.4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>
        <v>46126</v>
      </c>
      <c r="V76" s="1" t="str">
        <v>GNC Corsa</v>
      </c>
      <c r="W76" s="91">
        <v>8500</v>
      </c>
      <c r="X76" s="3" t="str">
        <v>GVarios</v>
      </c>
      <c r="Y76" s="82"/>
      <c r="AE76" s="79"/>
    </row>
    <row r="77" spans="5:31" ht="13.9" x14ac:dyDescent="0.4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>
        <v>46127</v>
      </c>
      <c r="V77" s="1" t="str">
        <v>Endosado ALNAT</v>
      </c>
      <c r="W77" s="91">
        <v>400000</v>
      </c>
      <c r="X77" s="3" t="str">
        <v>Mercaderia</v>
      </c>
      <c r="Y77" s="82"/>
      <c r="AE77" s="79"/>
    </row>
    <row r="78" spans="5:31" ht="13.9" x14ac:dyDescent="0.4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>
        <v>46127</v>
      </c>
      <c r="V78" s="1" t="str">
        <v>Alcides</v>
      </c>
      <c r="W78" s="91">
        <v>1020504.32</v>
      </c>
      <c r="X78" s="3" t="str">
        <v>Mercaderia</v>
      </c>
      <c r="Y78" s="82"/>
      <c r="AE78" s="79"/>
    </row>
    <row r="79" spans="5:31" ht="13.9" x14ac:dyDescent="0.4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>
        <v>46127</v>
      </c>
      <c r="V79" s="1" t="str">
        <v>Cincado</v>
      </c>
      <c r="W79" s="91">
        <v>66000</v>
      </c>
      <c r="X79" s="3" t="str">
        <v>Mercaderia</v>
      </c>
      <c r="Y79" s="82"/>
      <c r="AE79" s="79"/>
    </row>
    <row r="80" spans="5:31" ht="13.9" x14ac:dyDescent="0.4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>
        <v>46127</v>
      </c>
      <c r="V80" s="1" t="str">
        <v>Regatones OyR</v>
      </c>
      <c r="W80" s="91">
        <v>128300</v>
      </c>
      <c r="X80" s="3" t="str">
        <v>Mercaderia</v>
      </c>
      <c r="Y80" s="82"/>
      <c r="AE80" s="79"/>
    </row>
    <row r="81" spans="5:31" ht="13.9" x14ac:dyDescent="0.4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>
        <v>46127</v>
      </c>
      <c r="V81" s="1" t="str">
        <v>Argon</v>
      </c>
      <c r="W81" s="91">
        <v>33500</v>
      </c>
      <c r="X81" s="3" t="str">
        <v>Mercaderia</v>
      </c>
      <c r="Y81" s="82"/>
      <c r="AE81" s="79"/>
    </row>
    <row r="82" spans="5:31" ht="13.9" x14ac:dyDescent="0.4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>
        <v>46127</v>
      </c>
      <c r="V82" s="1" t="str">
        <v>Gabi consumibles</v>
      </c>
      <c r="W82" s="91">
        <v>12000</v>
      </c>
      <c r="X82" s="3" t="str">
        <v>GVarios</v>
      </c>
      <c r="Y82" s="82"/>
      <c r="AE82" s="79"/>
    </row>
    <row r="83" spans="5:31" ht="13.9" x14ac:dyDescent="0.4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>
        <v>46127</v>
      </c>
      <c r="V83" s="1" t="str">
        <v>GNC Corsa</v>
      </c>
      <c r="W83" s="91">
        <v>8000</v>
      </c>
      <c r="X83" s="3" t="str">
        <v>GVarios</v>
      </c>
      <c r="Y83" s="82"/>
      <c r="AE83" s="79"/>
    </row>
    <row r="84" spans="5:31" ht="13.9" x14ac:dyDescent="0.4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>
        <v>46128</v>
      </c>
      <c r="V84" s="1" t="str">
        <v>Cuota Facilidades IVA</v>
      </c>
      <c r="W84" s="132">
        <v>446304</v>
      </c>
      <c r="X84" s="3" t="str">
        <v>GFijos</v>
      </c>
      <c r="Y84" s="82"/>
      <c r="AE84" s="79"/>
    </row>
    <row r="85" spans="5:31" ht="13.9" x14ac:dyDescent="0.4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>
        <v>46128</v>
      </c>
      <c r="V85" s="1" t="str">
        <v>Cuota Facilidades IVA</v>
      </c>
      <c r="W85" s="132">
        <v>410336</v>
      </c>
      <c r="X85" s="3" t="str">
        <v>GFijos</v>
      </c>
      <c r="Y85" s="82"/>
      <c r="AE85" s="79"/>
    </row>
    <row r="86" spans="5:31" ht="13.9" x14ac:dyDescent="0.4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>
        <v>46128</v>
      </c>
      <c r="V86" s="1" t="str">
        <v>Personal Flow</v>
      </c>
      <c r="W86" s="91">
        <v>89083</v>
      </c>
      <c r="X86" s="3" t="str">
        <v>GFijos</v>
      </c>
      <c r="Y86" s="82"/>
      <c r="AE86" s="79"/>
    </row>
    <row r="87" spans="5:31" ht="13.9" x14ac:dyDescent="0.4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>
        <v>46128</v>
      </c>
      <c r="V87" s="1" t="str">
        <v>Rober</v>
      </c>
      <c r="W87" s="132">
        <v>91500</v>
      </c>
      <c r="X87" s="3" t="str">
        <v>Mercaderia</v>
      </c>
      <c r="Y87" s="82"/>
      <c r="AE87" s="79"/>
    </row>
    <row r="88" spans="5:31" ht="13.9" x14ac:dyDescent="0.4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>
        <v>46128</v>
      </c>
      <c r="V88" s="1" t="str">
        <v>Dahe Piazze</v>
      </c>
      <c r="W88" s="91">
        <v>277816.12</v>
      </c>
      <c r="X88" s="3" t="str">
        <v>Mercaderia</v>
      </c>
      <c r="Y88" s="82"/>
      <c r="AE88" s="79"/>
    </row>
    <row r="89" spans="5:31" ht="13.9" x14ac:dyDescent="0.4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>
        <v>46128</v>
      </c>
      <c r="V89" s="1" t="str">
        <v>Kloster</v>
      </c>
      <c r="W89" s="91">
        <v>298000</v>
      </c>
      <c r="X89" s="3" t="str">
        <v>Mercaderia</v>
      </c>
      <c r="Y89" s="82"/>
      <c r="AE89" s="79"/>
    </row>
    <row r="90" spans="5:31" ht="13.9" x14ac:dyDescent="0.4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>
        <v>46128</v>
      </c>
      <c r="V90" s="1" t="str">
        <v>Rober</v>
      </c>
      <c r="W90" s="91">
        <v>47500</v>
      </c>
      <c r="X90" s="3" t="str">
        <v>Mercaderia</v>
      </c>
      <c r="Y90" s="82"/>
      <c r="AE90" s="79"/>
    </row>
    <row r="91" spans="5:31" ht="13.9" x14ac:dyDescent="0.4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>
        <v>46128</v>
      </c>
      <c r="V91" s="145" t="str">
        <v>Selladores Regitak</v>
      </c>
      <c r="W91" s="91">
        <v>80440.800000000003</v>
      </c>
      <c r="X91" s="3" t="str">
        <v>Mercaderia</v>
      </c>
      <c r="Y91" s="82"/>
      <c r="AE91" s="79"/>
    </row>
    <row r="92" spans="5:31" ht="13.9" x14ac:dyDescent="0.4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>
        <v>46128</v>
      </c>
      <c r="V92" s="1" t="str">
        <v>Jorge Carbon</v>
      </c>
      <c r="W92" s="91">
        <v>220000</v>
      </c>
      <c r="X92" s="3" t="str">
        <v>Mercaderia</v>
      </c>
      <c r="Y92" s="82"/>
      <c r="AE92" s="79"/>
    </row>
    <row r="93" spans="5:31" ht="13.9" x14ac:dyDescent="0.4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>
        <v>46128</v>
      </c>
      <c r="V93" s="1" t="str">
        <v>Pedro Insertos</v>
      </c>
      <c r="W93" s="91">
        <v>480000</v>
      </c>
      <c r="X93" s="3" t="str">
        <v>Mercaderia</v>
      </c>
      <c r="Y93" s="82"/>
      <c r="AE93" s="79"/>
    </row>
    <row r="94" spans="5:31" ht="13.9" x14ac:dyDescent="0.4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>
        <v>46128</v>
      </c>
      <c r="V94" s="1" t="str">
        <v>Naza Obra</v>
      </c>
      <c r="W94" s="91">
        <v>250000</v>
      </c>
      <c r="X94" s="3" t="str">
        <v>GVarios</v>
      </c>
      <c r="Y94" s="82"/>
      <c r="AE94" s="79"/>
    </row>
    <row r="95" spans="5:31" ht="13.9" x14ac:dyDescent="0.4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>
        <v>46128</v>
      </c>
      <c r="V95" s="1" t="str">
        <v>GNC Corsa</v>
      </c>
      <c r="W95" s="91">
        <v>10000</v>
      </c>
      <c r="X95" s="3" t="str">
        <v>GVarios</v>
      </c>
      <c r="Y95" s="82"/>
      <c r="AE95" s="79"/>
    </row>
    <row r="96" spans="5:31" ht="13.9" x14ac:dyDescent="0.4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>
        <v>46128</v>
      </c>
      <c r="V96" s="1" t="str">
        <v>GNC Corsa</v>
      </c>
      <c r="W96" s="91">
        <v>7800</v>
      </c>
      <c r="X96" s="3" t="str">
        <v>GVarios</v>
      </c>
      <c r="Y96" s="82"/>
      <c r="AE96" s="79"/>
    </row>
    <row r="97" spans="5:31" ht="13.9" x14ac:dyDescent="0.4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>
        <v>46128</v>
      </c>
      <c r="V97" s="1" t="str">
        <v>Gabi consumibles</v>
      </c>
      <c r="W97" s="91">
        <v>13000</v>
      </c>
      <c r="X97" s="3" t="str">
        <v>GVarios</v>
      </c>
      <c r="Y97" s="82"/>
      <c r="AE97" s="79"/>
    </row>
    <row r="98" spans="5:31" ht="13.9" x14ac:dyDescent="0.4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>
        <v>46129</v>
      </c>
      <c r="V98" s="1" t="str">
        <v>Sueldos</v>
      </c>
      <c r="W98" s="132">
        <v>3468465</v>
      </c>
      <c r="X98" s="3" t="str">
        <v>Sueldos</v>
      </c>
      <c r="Y98" s="82"/>
      <c r="AE98" s="79"/>
    </row>
    <row r="99" spans="5:31" ht="13.9" x14ac:dyDescent="0.4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>
        <v>46129</v>
      </c>
      <c r="V99" s="1" t="str">
        <v>Tarjeta Galicia + VISA</v>
      </c>
      <c r="W99" s="132">
        <v>1213387.2</v>
      </c>
      <c r="X99" s="3" t="str">
        <v>GFijos</v>
      </c>
      <c r="Y99" s="82"/>
      <c r="AE99" s="79"/>
    </row>
    <row r="100" spans="5:31" ht="13.9" x14ac:dyDescent="0.4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>
        <v>46129</v>
      </c>
      <c r="V100" s="1" t="str">
        <v>MetalGrab</v>
      </c>
      <c r="W100" s="91">
        <v>264394.68</v>
      </c>
      <c r="X100" s="3" t="str">
        <v>Mercaderia</v>
      </c>
      <c r="Y100" s="82"/>
      <c r="AE100" s="79"/>
    </row>
    <row r="101" spans="5:31" ht="13.9" x14ac:dyDescent="0.4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>
        <v>46129</v>
      </c>
      <c r="V101" s="1" t="str">
        <v>Neplastic</v>
      </c>
      <c r="W101" s="91">
        <v>441045</v>
      </c>
      <c r="X101" s="3" t="str">
        <v>Mercaderia</v>
      </c>
      <c r="Y101" s="82"/>
      <c r="AE101" s="79"/>
    </row>
    <row r="102" spans="5:31" ht="13.9" x14ac:dyDescent="0.4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>
        <v>46129</v>
      </c>
      <c r="V102" s="1" t="str">
        <v>Endosado ALNAT</v>
      </c>
      <c r="W102" s="91">
        <v>612801.4</v>
      </c>
      <c r="X102" s="3" t="str">
        <v>Mercaderia</v>
      </c>
      <c r="Y102" s="82"/>
      <c r="AE102" s="79"/>
    </row>
    <row r="103" spans="5:31" ht="13.9" x14ac:dyDescent="0.4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>
        <v>46129</v>
      </c>
      <c r="V103" s="1" t="str">
        <v>Walter Gavetas</v>
      </c>
      <c r="W103" s="91">
        <v>200000</v>
      </c>
      <c r="X103" s="3" t="str">
        <v>Mercaderia</v>
      </c>
      <c r="Y103" s="82"/>
      <c r="AE103" s="79"/>
    </row>
    <row r="104" spans="5:31" ht="13.9" x14ac:dyDescent="0.4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>
        <v>46129</v>
      </c>
      <c r="V104" s="1" t="str">
        <v>Getres</v>
      </c>
      <c r="W104" s="91">
        <v>59000</v>
      </c>
      <c r="X104" s="3" t="str">
        <v>GVarios</v>
      </c>
      <c r="Y104" s="82"/>
      <c r="AE104" s="79"/>
    </row>
    <row r="105" spans="5:31" ht="13.9" x14ac:dyDescent="0.4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>
        <v>46129</v>
      </c>
      <c r="V105" s="1" t="str">
        <v>Naza Obra</v>
      </c>
      <c r="W105" s="91">
        <v>300000</v>
      </c>
      <c r="X105" s="3" t="str">
        <v>GVarios</v>
      </c>
      <c r="Y105" s="82"/>
      <c r="AE105" s="79"/>
    </row>
    <row r="106" spans="5:31" ht="13.9" x14ac:dyDescent="0.4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>
        <v>46129</v>
      </c>
      <c r="V106" s="1" t="str">
        <v>Naza Obra</v>
      </c>
      <c r="W106" s="91">
        <v>500000</v>
      </c>
      <c r="X106" s="3" t="str">
        <v>GVarios</v>
      </c>
      <c r="Y106" s="82"/>
      <c r="AE106" s="79"/>
    </row>
    <row r="107" spans="5:31" ht="13.9" x14ac:dyDescent="0.4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>
        <v>46129</v>
      </c>
      <c r="V107" s="1" t="str">
        <v>Naza Obra</v>
      </c>
      <c r="W107" s="91">
        <v>300000</v>
      </c>
      <c r="X107" s="3" t="str">
        <v>GVarios</v>
      </c>
      <c r="Y107" s="82"/>
      <c r="AE107" s="79"/>
    </row>
    <row r="108" spans="5:31" ht="13.9" x14ac:dyDescent="0.4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>
        <v>46129</v>
      </c>
      <c r="V108" s="1" t="str">
        <v>Gabi consumibles</v>
      </c>
      <c r="W108" s="132">
        <v>8500</v>
      </c>
      <c r="X108" s="3" t="str">
        <v>GVarios</v>
      </c>
      <c r="Y108" s="82"/>
      <c r="AE108" s="79"/>
    </row>
    <row r="109" spans="5:31" ht="13.9" x14ac:dyDescent="0.4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>
        <v>46130</v>
      </c>
      <c r="V109" s="1" t="str">
        <v>Walter Gavetas</v>
      </c>
      <c r="W109" s="91">
        <v>161059</v>
      </c>
      <c r="X109" s="3" t="str">
        <v>Mercaderia</v>
      </c>
      <c r="Y109" s="82"/>
      <c r="AE109" s="79"/>
    </row>
    <row r="110" spans="5:31" ht="13.9" x14ac:dyDescent="0.4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>
        <v>46130</v>
      </c>
      <c r="V110" s="1" t="str">
        <v>Walter Gavetas</v>
      </c>
      <c r="W110" s="91">
        <v>80000</v>
      </c>
      <c r="X110" s="3" t="str">
        <v>Mercaderia</v>
      </c>
      <c r="Y110" s="82"/>
      <c r="AE110" s="79"/>
    </row>
    <row r="111" spans="5:31" ht="13.9" x14ac:dyDescent="0.4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>
        <v>46131</v>
      </c>
      <c r="V111" s="1" t="str">
        <v>Prestamo Galicia +</v>
      </c>
      <c r="W111" s="91">
        <v>1311628.8700000001</v>
      </c>
      <c r="X111" s="3" t="str">
        <v>GFijos</v>
      </c>
      <c r="Y111" s="82"/>
      <c r="AE111" s="79"/>
    </row>
    <row r="112" spans="5:31" ht="13.9" x14ac:dyDescent="0.4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>
        <v>46132</v>
      </c>
      <c r="V112" s="1" t="str">
        <v>BS Gestion</v>
      </c>
      <c r="W112" s="91">
        <v>382511.25</v>
      </c>
      <c r="X112" s="3" t="str">
        <v>GFijos</v>
      </c>
      <c r="Y112" s="82"/>
      <c r="AE112" s="79"/>
    </row>
    <row r="113" spans="5:31" ht="13.9" x14ac:dyDescent="0.4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>
        <v>46132</v>
      </c>
      <c r="V113" s="1" t="str">
        <v>Tarjeta Galicia - BUSINESS</v>
      </c>
      <c r="W113" s="91">
        <v>848160</v>
      </c>
      <c r="X113" s="3" t="str">
        <v>GFijos</v>
      </c>
      <c r="Y113" s="82"/>
      <c r="AE113" s="79"/>
    </row>
    <row r="114" spans="5:31" ht="13.9" x14ac:dyDescent="0.4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>
        <v>46132</v>
      </c>
      <c r="V114" s="1" t="str">
        <v>Endosado ALNAT</v>
      </c>
      <c r="W114" s="132">
        <v>845478.61</v>
      </c>
      <c r="X114" s="3" t="str">
        <v>Mercaderia</v>
      </c>
      <c r="Y114" s="82"/>
      <c r="AE114" s="79"/>
    </row>
    <row r="115" spans="5:31" ht="13.9" x14ac:dyDescent="0.4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>
        <v>46132</v>
      </c>
      <c r="V115" s="1" t="str">
        <v>MetalGrab</v>
      </c>
      <c r="W115" s="91">
        <v>103941.42</v>
      </c>
      <c r="X115" s="3" t="str">
        <v>Mercaderia</v>
      </c>
      <c r="Y115" s="82"/>
    </row>
    <row r="116" spans="5:31" ht="13.9" x14ac:dyDescent="0.4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>
        <v>46132</v>
      </c>
      <c r="V116" s="1" t="str">
        <v>GNC Corsa</v>
      </c>
      <c r="W116" s="91">
        <v>4000</v>
      </c>
      <c r="X116" s="3" t="str">
        <v>GVarios</v>
      </c>
      <c r="Y116" s="82"/>
    </row>
    <row r="117" spans="5:31" ht="13.9" x14ac:dyDescent="0.4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>
        <v>46132</v>
      </c>
      <c r="V117" s="1" t="str">
        <v>Combustible Corsa</v>
      </c>
      <c r="W117" s="91">
        <v>70000</v>
      </c>
      <c r="X117" s="3" t="str">
        <v>GVarios</v>
      </c>
      <c r="Y117" s="82"/>
    </row>
    <row r="118" spans="5:31" ht="13.9" x14ac:dyDescent="0.4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>
        <v>46132</v>
      </c>
      <c r="V118" s="1" t="str">
        <v>Gabi consumibles</v>
      </c>
      <c r="W118" s="91">
        <v>11000</v>
      </c>
      <c r="X118" s="3" t="str">
        <v>GVarios</v>
      </c>
      <c r="Y118" s="82"/>
    </row>
    <row r="119" spans="5:31" ht="13.9" x14ac:dyDescent="0.4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>
        <v>46133</v>
      </c>
      <c r="V119" s="1" t="str">
        <v>Alumina</v>
      </c>
      <c r="W119" s="91">
        <v>146317.76000000001</v>
      </c>
      <c r="X119" s="3" t="str">
        <v>Mercaderia</v>
      </c>
      <c r="Y119" s="82"/>
    </row>
    <row r="120" spans="5:31" ht="13.9" x14ac:dyDescent="0.4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>
        <v>46133</v>
      </c>
      <c r="V120" s="1" t="str">
        <v>Otia</v>
      </c>
      <c r="W120" s="132">
        <v>162431.99999999997</v>
      </c>
      <c r="X120" s="3" t="str">
        <v>Mercaderia</v>
      </c>
      <c r="Y120" s="82"/>
    </row>
    <row r="121" spans="5:31" ht="13.9" x14ac:dyDescent="0.4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>
        <v>46133</v>
      </c>
      <c r="V121" s="1" t="str">
        <v>Cincado</v>
      </c>
      <c r="W121" s="91">
        <v>44000</v>
      </c>
      <c r="X121" s="3" t="str">
        <v>Mercaderia</v>
      </c>
      <c r="Y121" s="82"/>
    </row>
    <row r="122" spans="5:31" ht="13.9" x14ac:dyDescent="0.4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>
        <v>46133</v>
      </c>
      <c r="V122" s="1" t="str">
        <v>Regatones OyR</v>
      </c>
      <c r="W122" s="91">
        <v>75600</v>
      </c>
      <c r="X122" s="3" t="str">
        <v>Mercaderia</v>
      </c>
      <c r="Y122" s="82"/>
    </row>
    <row r="123" spans="5:31" ht="13.9" x14ac:dyDescent="0.4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>
        <v>46133</v>
      </c>
      <c r="V123" s="1" t="str">
        <v>Tobar</v>
      </c>
      <c r="W123" s="91">
        <v>253200</v>
      </c>
      <c r="X123" s="3" t="str">
        <v>Mercaderia</v>
      </c>
      <c r="Y123" s="82"/>
    </row>
    <row r="124" spans="5:31" ht="13.9" x14ac:dyDescent="0.4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>
        <v>46133</v>
      </c>
      <c r="V124" s="1" t="str">
        <v>Regaplas</v>
      </c>
      <c r="W124" s="91">
        <v>239000</v>
      </c>
      <c r="X124" s="3" t="str">
        <v>Mercaderia</v>
      </c>
      <c r="Y124" s="82"/>
    </row>
    <row r="125" spans="5:31" ht="14.25" x14ac:dyDescent="0.4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>
        <v>46133</v>
      </c>
      <c r="V125" s="1" t="str">
        <v>Neplastic</v>
      </c>
      <c r="W125" s="91">
        <v>394762.5</v>
      </c>
      <c r="X125" s="3" t="str">
        <v>Mercaderia</v>
      </c>
      <c r="Y125" s="82"/>
    </row>
    <row r="126" spans="5:31" ht="13.9" x14ac:dyDescent="0.4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>
        <v>46133</v>
      </c>
      <c r="V126" s="1" t="str">
        <v>Vía cargo</v>
      </c>
      <c r="W126" s="91">
        <v>16000</v>
      </c>
      <c r="X126" s="3" t="str">
        <v>GVarios</v>
      </c>
      <c r="Y126" s="82"/>
    </row>
    <row r="127" spans="5:31" ht="13.9" x14ac:dyDescent="0.4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>
        <v>46133</v>
      </c>
      <c r="V127" s="1" t="str">
        <v>Embolsado de Carbones</v>
      </c>
      <c r="W127" s="91">
        <v>63000</v>
      </c>
      <c r="X127" s="3" t="str">
        <v>GVarios</v>
      </c>
      <c r="Y127" s="82"/>
    </row>
    <row r="128" spans="5:31" ht="13.9" x14ac:dyDescent="0.4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>
        <v>46133</v>
      </c>
      <c r="V128" s="1" t="str">
        <v>GNC Corsa</v>
      </c>
      <c r="W128" s="91">
        <v>13200</v>
      </c>
      <c r="X128" s="3" t="str">
        <v>GVarios</v>
      </c>
      <c r="Y128" s="82"/>
    </row>
    <row r="129" spans="5:25" ht="13.9" x14ac:dyDescent="0.4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>
        <v>46133</v>
      </c>
      <c r="V129" s="1" t="str">
        <v>Gabi consumibles</v>
      </c>
      <c r="W129" s="91">
        <v>12300</v>
      </c>
      <c r="X129" s="3" t="str">
        <v>GVarios</v>
      </c>
      <c r="Y129" s="82"/>
    </row>
    <row r="130" spans="5:25" ht="13.9" x14ac:dyDescent="0.4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>
        <v>46134</v>
      </c>
      <c r="V130" s="1" t="str">
        <v>Seguros Rivadavía</v>
      </c>
      <c r="W130" s="91">
        <v>93593</v>
      </c>
      <c r="X130" s="3" t="str">
        <v>GFijos</v>
      </c>
      <c r="Y130" s="82"/>
    </row>
    <row r="131" spans="5:25" ht="13.9" x14ac:dyDescent="0.4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>
        <v>46134</v>
      </c>
      <c r="V131" s="1" t="str">
        <v>Fader Plastic</v>
      </c>
      <c r="W131" s="91">
        <v>250000</v>
      </c>
      <c r="X131" s="3" t="str">
        <v>Mercaderia</v>
      </c>
      <c r="Y131" s="82"/>
    </row>
    <row r="132" spans="5:25" ht="13.9" x14ac:dyDescent="0.4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>
        <v>46134</v>
      </c>
      <c r="V132" s="1" t="str">
        <v>LCT</v>
      </c>
      <c r="W132" s="132">
        <v>328467</v>
      </c>
      <c r="X132" s="3" t="str">
        <v>Mercaderia</v>
      </c>
      <c r="Y132" s="82"/>
    </row>
    <row r="133" spans="5:25" ht="13.9" x14ac:dyDescent="0.4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>
        <v>46134</v>
      </c>
      <c r="V133" s="1" t="str">
        <v>Jucap</v>
      </c>
      <c r="W133" s="132">
        <v>517400</v>
      </c>
      <c r="X133" s="3" t="str">
        <v>Mercaderia</v>
      </c>
      <c r="Y133" s="82"/>
    </row>
    <row r="134" spans="5:25" ht="13.9" x14ac:dyDescent="0.4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>
        <v>46134</v>
      </c>
      <c r="V134" s="1" t="str">
        <v>Kloster</v>
      </c>
      <c r="W134" s="91">
        <v>52000</v>
      </c>
      <c r="X134" s="3" t="str">
        <v>Mercaderia</v>
      </c>
      <c r="Y134" s="82"/>
    </row>
    <row r="135" spans="5:25" ht="13.9" x14ac:dyDescent="0.4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>
        <v>46134</v>
      </c>
      <c r="V135" s="1" t="str">
        <v>Jorge Carbon</v>
      </c>
      <c r="W135" s="91">
        <v>600000</v>
      </c>
      <c r="X135" s="3" t="str">
        <v>Mercaderia</v>
      </c>
      <c r="Y135" s="82"/>
    </row>
    <row r="136" spans="5:25" ht="13.9" x14ac:dyDescent="0.4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>
        <v>46134</v>
      </c>
      <c r="V136" s="1" t="str">
        <v>Walter Gavetas</v>
      </c>
      <c r="W136" s="91">
        <v>676831</v>
      </c>
      <c r="X136" s="3" t="str">
        <v>Mercaderia</v>
      </c>
      <c r="Y136" s="82"/>
    </row>
    <row r="137" spans="5:25" ht="13.9" x14ac:dyDescent="0.4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>
        <v>46134</v>
      </c>
      <c r="V137" s="1" t="str">
        <v>Surplas</v>
      </c>
      <c r="W137" s="91">
        <v>129200</v>
      </c>
      <c r="X137" s="3" t="str">
        <v>Mercaderia</v>
      </c>
      <c r="Y137" s="82"/>
    </row>
    <row r="138" spans="5:25" ht="13.9" x14ac:dyDescent="0.4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>
        <v>46134</v>
      </c>
      <c r="V138" s="1" t="str">
        <v>Pedro Oring</v>
      </c>
      <c r="W138" s="91">
        <v>110000</v>
      </c>
      <c r="X138" s="3" t="str">
        <v>Mercaderia</v>
      </c>
      <c r="Y138" s="82"/>
    </row>
    <row r="139" spans="5:25" ht="13.9" x14ac:dyDescent="0.4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>
        <v>46134</v>
      </c>
      <c r="V139" s="1" t="str">
        <v>GNC Corsa</v>
      </c>
      <c r="W139" s="91">
        <v>10000</v>
      </c>
      <c r="X139" s="3" t="str">
        <v>GVarios</v>
      </c>
      <c r="Y139" s="82"/>
    </row>
    <row r="140" spans="5:25" ht="13.9" x14ac:dyDescent="0.4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>
        <v>46134</v>
      </c>
      <c r="V140" s="1" t="str">
        <v>Gabi consumibles</v>
      </c>
      <c r="W140" s="91">
        <v>9000</v>
      </c>
      <c r="X140" s="3" t="str">
        <v>GVarios</v>
      </c>
      <c r="Y140" s="82"/>
    </row>
    <row r="141" spans="5:25" ht="13.9" x14ac:dyDescent="0.4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>
        <v>46135</v>
      </c>
      <c r="V141" s="1" t="str">
        <v>Rober</v>
      </c>
      <c r="W141" s="91">
        <v>180180</v>
      </c>
      <c r="X141" s="3" t="str">
        <v>Mercaderia</v>
      </c>
      <c r="Y141" s="82"/>
    </row>
    <row r="142" spans="5:25" ht="13.9" x14ac:dyDescent="0.4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>
        <v>46135</v>
      </c>
      <c r="V142" s="1" t="str">
        <v>Neplastic</v>
      </c>
      <c r="W142" s="132">
        <v>419265</v>
      </c>
      <c r="X142" s="3" t="str">
        <v>Mercaderia</v>
      </c>
      <c r="Y142" s="82"/>
    </row>
    <row r="143" spans="5:25" ht="13.9" x14ac:dyDescent="0.4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>
        <v>46135</v>
      </c>
      <c r="V143" s="1" t="str">
        <v>GNC Corsa</v>
      </c>
      <c r="W143" s="132">
        <v>8087</v>
      </c>
      <c r="X143" s="3" t="str">
        <v>GVarios</v>
      </c>
      <c r="Y143" s="82"/>
    </row>
    <row r="144" spans="5:25" ht="13.9" x14ac:dyDescent="0.4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>
        <v>46135</v>
      </c>
      <c r="V144" s="1" t="str">
        <v>Gabi consumibles</v>
      </c>
      <c r="W144" s="91">
        <v>10400</v>
      </c>
      <c r="X144" s="3" t="str">
        <v>GVarios</v>
      </c>
      <c r="Y144" s="82"/>
    </row>
    <row r="145" spans="5:25" ht="13.9" x14ac:dyDescent="0.4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>
        <v>46136</v>
      </c>
      <c r="V145" s="1" t="str">
        <v>Sueldos</v>
      </c>
      <c r="W145" s="91">
        <v>2172000</v>
      </c>
      <c r="X145" s="3" t="str">
        <v>Sueldos</v>
      </c>
      <c r="Y145" s="82"/>
    </row>
    <row r="146" spans="5:25" ht="13.9" x14ac:dyDescent="0.4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>
        <v>46136</v>
      </c>
      <c r="V146" s="1" t="str">
        <v>Prestamo Santander Rio</v>
      </c>
      <c r="W146" s="91">
        <v>872520</v>
      </c>
      <c r="X146" s="3" t="str">
        <v>GFijos</v>
      </c>
      <c r="Y146" s="82"/>
    </row>
    <row r="147" spans="5:25" ht="13.9" x14ac:dyDescent="0.4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>
        <v>46136</v>
      </c>
      <c r="V147" s="1" t="str">
        <v>Endosado Metalgrab</v>
      </c>
      <c r="W147" s="132">
        <v>389726.18</v>
      </c>
      <c r="X147" s="3" t="str">
        <v>Mercaderia</v>
      </c>
      <c r="Y147" s="82"/>
    </row>
    <row r="148" spans="5:25" ht="13.9" x14ac:dyDescent="0.4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>
        <v>46136</v>
      </c>
      <c r="V148" s="1" t="str">
        <v>Argon</v>
      </c>
      <c r="W148" s="91">
        <v>75375</v>
      </c>
      <c r="X148" s="3" t="str">
        <v>Mercaderia</v>
      </c>
      <c r="Y148" s="82"/>
    </row>
    <row r="149" spans="5:25" ht="13.9" x14ac:dyDescent="0.4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>
        <v>46136</v>
      </c>
      <c r="V149" s="1" t="str">
        <v>METALGRAB</v>
      </c>
      <c r="W149" s="91">
        <v>152000</v>
      </c>
      <c r="X149" s="3" t="str">
        <v>Mercaderia</v>
      </c>
      <c r="Y149" s="82"/>
    </row>
    <row r="150" spans="5:25" ht="13.9" x14ac:dyDescent="0.4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>
        <v>46136</v>
      </c>
      <c r="V150" s="1" t="str">
        <v>Juan Regatones</v>
      </c>
      <c r="W150" s="91">
        <v>108000</v>
      </c>
      <c r="X150" s="3" t="str">
        <v>Mercaderia</v>
      </c>
      <c r="Y150" s="82"/>
    </row>
    <row r="151" spans="5:25" ht="13.9" x14ac:dyDescent="0.4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>
        <v>46136</v>
      </c>
      <c r="V151" s="1" t="str">
        <v>Argon</v>
      </c>
      <c r="W151" s="91">
        <v>40800</v>
      </c>
      <c r="X151" s="3" t="str">
        <v>Mercaderia</v>
      </c>
      <c r="Y151" s="82"/>
    </row>
    <row r="152" spans="5:25" ht="13.9" x14ac:dyDescent="0.4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>
        <v>46136</v>
      </c>
      <c r="V152" s="1" t="str">
        <v>Walter Gavetas</v>
      </c>
      <c r="W152" s="132">
        <v>154530</v>
      </c>
      <c r="X152" s="3" t="str">
        <v>Mercaderia</v>
      </c>
      <c r="Y152" s="82"/>
    </row>
    <row r="153" spans="5:25" ht="13.9" x14ac:dyDescent="0.4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>
        <v>46136</v>
      </c>
      <c r="V153" s="1" t="str">
        <v>Dahe Piazze</v>
      </c>
      <c r="W153" s="132">
        <v>201496</v>
      </c>
      <c r="X153" s="3" t="str">
        <v>Mercaderia</v>
      </c>
      <c r="Y153" s="82"/>
    </row>
    <row r="154" spans="5:25" ht="13.9" x14ac:dyDescent="0.4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>
        <v>46136</v>
      </c>
      <c r="V154" s="1" t="str">
        <v>Walter Gavetas</v>
      </c>
      <c r="W154" s="91">
        <v>400000</v>
      </c>
      <c r="X154" s="3" t="str">
        <v>Mercaderia</v>
      </c>
      <c r="Y154" s="82"/>
    </row>
    <row r="155" spans="5:25" ht="13.9" x14ac:dyDescent="0.4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>
        <v>46136</v>
      </c>
      <c r="V155" s="1" t="str">
        <v>Jorge Carbon</v>
      </c>
      <c r="W155" s="91">
        <v>350000</v>
      </c>
      <c r="X155" s="3" t="str">
        <v>Mercaderia</v>
      </c>
      <c r="Y155" s="82"/>
    </row>
    <row r="156" spans="5:25" ht="13.9" x14ac:dyDescent="0.4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>
        <v>46136</v>
      </c>
      <c r="V156" s="1" t="str">
        <v>Fader Plastic</v>
      </c>
      <c r="W156" s="91">
        <v>233880.68</v>
      </c>
      <c r="X156" s="3" t="str">
        <v>Mercaderia</v>
      </c>
      <c r="Y156" s="82"/>
    </row>
    <row r="157" spans="5:25" ht="13.9" x14ac:dyDescent="0.4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>
        <v>46136</v>
      </c>
      <c r="V157" s="1" t="str">
        <v>Combustible Corsa</v>
      </c>
      <c r="W157" s="91">
        <v>80000</v>
      </c>
      <c r="X157" s="3" t="str">
        <v>GVarios</v>
      </c>
      <c r="Y157" s="82"/>
    </row>
    <row r="158" spans="5:25" ht="14.25" customHeight="1" x14ac:dyDescent="0.4"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>
        <v>46136</v>
      </c>
      <c r="V158" s="1" t="str">
        <v>Naza Obra</v>
      </c>
      <c r="W158" s="91">
        <v>300000</v>
      </c>
      <c r="X158" s="3" t="str">
        <v>GVarios</v>
      </c>
      <c r="Y158" s="82"/>
    </row>
    <row r="159" spans="5:25" ht="14.25" customHeight="1" x14ac:dyDescent="0.4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>
        <v>46136</v>
      </c>
      <c r="V159" s="1" t="str">
        <v>Naza Obra</v>
      </c>
      <c r="W159" s="91">
        <v>512852.75</v>
      </c>
      <c r="X159" s="3" t="str">
        <v>GVarios</v>
      </c>
      <c r="Y159" s="82"/>
    </row>
    <row r="160" spans="5:25" ht="14.25" customHeight="1" x14ac:dyDescent="0.4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>
        <v>46139</v>
      </c>
      <c r="V160" s="1" t="str">
        <v>Endosado ALNAT</v>
      </c>
      <c r="W160" s="91">
        <v>919720.09</v>
      </c>
      <c r="X160" s="3" t="str">
        <v>Mercaderia</v>
      </c>
      <c r="Y160" s="82"/>
    </row>
    <row r="161" spans="11:25" ht="14.25" customHeight="1" x14ac:dyDescent="0.4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>
        <v>46139</v>
      </c>
      <c r="V161" s="1" t="str">
        <v>InyectGas</v>
      </c>
      <c r="W161" s="91">
        <v>490000</v>
      </c>
      <c r="X161" s="3" t="str">
        <v>Mercaderia</v>
      </c>
      <c r="Y161" s="82"/>
    </row>
    <row r="162" spans="11:25" ht="14.25" customHeight="1" x14ac:dyDescent="0.4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>
        <v>46139</v>
      </c>
      <c r="V162" s="1" t="str">
        <v>Alcides</v>
      </c>
      <c r="W162" s="91">
        <v>868000</v>
      </c>
      <c r="X162" s="3" t="str">
        <v>Mercaderia</v>
      </c>
      <c r="Y162" s="82"/>
    </row>
    <row r="163" spans="11:25" ht="14.25" customHeight="1" x14ac:dyDescent="0.4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>
        <v>46139</v>
      </c>
      <c r="V163" s="1" t="str">
        <v>Marblas</v>
      </c>
      <c r="W163" s="91">
        <v>125000</v>
      </c>
      <c r="X163" s="3" t="str">
        <v>Mercaderia</v>
      </c>
      <c r="Y163" s="82"/>
    </row>
    <row r="164" spans="11:25" ht="14.25" customHeight="1" x14ac:dyDescent="0.4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>
        <v>46140</v>
      </c>
      <c r="V164" s="1" t="str">
        <v>Endosado Metalgrab</v>
      </c>
      <c r="W164" s="91">
        <v>200000</v>
      </c>
      <c r="X164" s="3" t="str">
        <v>Mercaderia</v>
      </c>
      <c r="Y164" s="82"/>
    </row>
    <row r="165" spans="11:25" ht="14.25" customHeight="1" x14ac:dyDescent="0.4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>
        <v>46140</v>
      </c>
      <c r="V165" s="1" t="str">
        <v>Regaplas</v>
      </c>
      <c r="W165" s="91">
        <v>176200</v>
      </c>
      <c r="X165" s="3" t="str">
        <v>Mercaderia</v>
      </c>
      <c r="Y165" s="82"/>
    </row>
    <row r="166" spans="11:25" ht="14.25" customHeight="1" x14ac:dyDescent="0.4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>
        <v>46140</v>
      </c>
      <c r="V166" s="1" t="str">
        <v>Baigorria</v>
      </c>
      <c r="W166" s="91">
        <v>263694.68</v>
      </c>
      <c r="X166" s="3" t="str">
        <v>Mercaderia</v>
      </c>
      <c r="Y166" s="82"/>
    </row>
    <row r="167" spans="11:25" ht="14.25" customHeight="1" x14ac:dyDescent="0.4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>
        <v>46140</v>
      </c>
      <c r="V167" s="1" t="str">
        <v>Alemites</v>
      </c>
      <c r="W167" s="91">
        <v>289000</v>
      </c>
      <c r="X167" s="3" t="str">
        <v>Mercaderia</v>
      </c>
      <c r="Y167" s="82"/>
    </row>
    <row r="168" spans="11:25" ht="14.25" customHeight="1" x14ac:dyDescent="0.4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>
        <v>46140</v>
      </c>
      <c r="V168" s="1" t="str">
        <v>Pedro Insertos</v>
      </c>
      <c r="W168" s="132">
        <v>162504</v>
      </c>
      <c r="X168" s="3" t="str">
        <v>Mercaderia</v>
      </c>
      <c r="Y168" s="82"/>
    </row>
    <row r="169" spans="11:25" ht="14.25" customHeight="1" x14ac:dyDescent="0.4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>
        <v>46140</v>
      </c>
      <c r="V169" s="1" t="str">
        <v>Jorge Carbon</v>
      </c>
      <c r="W169" s="132">
        <v>450000</v>
      </c>
      <c r="X169" s="3" t="str">
        <v>Mercaderia</v>
      </c>
      <c r="Y169" s="82"/>
    </row>
    <row r="170" spans="11:25" ht="14.25" customHeight="1" x14ac:dyDescent="0.4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>
        <v>46140</v>
      </c>
      <c r="V170" s="1" t="str">
        <v>Jorge Carbon</v>
      </c>
      <c r="W170" s="91">
        <v>100000</v>
      </c>
      <c r="X170" s="3" t="str">
        <v>Mercaderia</v>
      </c>
      <c r="Y170" s="82"/>
    </row>
    <row r="171" spans="11:25" ht="14.25" customHeight="1" x14ac:dyDescent="0.4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>
        <v>46140</v>
      </c>
      <c r="V171" s="1" t="str">
        <v>Combustible Parnet</v>
      </c>
      <c r="W171" s="91">
        <v>137000</v>
      </c>
      <c r="X171" s="3" t="str">
        <v>GVarios</v>
      </c>
      <c r="Y171" s="82"/>
    </row>
    <row r="172" spans="11:25" ht="14.25" customHeight="1" x14ac:dyDescent="0.4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>
        <v>46140</v>
      </c>
      <c r="V172" s="1" t="str">
        <v>Mat. Obra - Rollo Aislante</v>
      </c>
      <c r="W172" s="91">
        <v>290000</v>
      </c>
      <c r="X172" s="3" t="str">
        <v>GVarios</v>
      </c>
      <c r="Y172" s="82"/>
    </row>
    <row r="173" spans="11:25" ht="14.25" customHeight="1" x14ac:dyDescent="0.4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>
        <v>46140</v>
      </c>
      <c r="V173" s="1" t="str">
        <v>GNC Corsa</v>
      </c>
      <c r="W173" s="91">
        <v>10000</v>
      </c>
      <c r="X173" s="3" t="str">
        <v>GVarios</v>
      </c>
      <c r="Y173" s="82"/>
    </row>
    <row r="174" spans="11:25" ht="14.25" customHeight="1" x14ac:dyDescent="0.4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>
        <v>46141</v>
      </c>
      <c r="V174" s="1" t="str">
        <v>Goma</v>
      </c>
      <c r="W174" s="91">
        <v>61600</v>
      </c>
      <c r="X174" s="3" t="str">
        <v>Mercaderia</v>
      </c>
      <c r="Y174" s="82"/>
    </row>
    <row r="175" spans="11:25" ht="14.25" customHeight="1" x14ac:dyDescent="0.4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>
        <v>46141</v>
      </c>
      <c r="V175" s="1" t="str">
        <v>Alnora Maderas</v>
      </c>
      <c r="W175" s="91">
        <v>84313.16</v>
      </c>
      <c r="X175" s="3" t="str">
        <v>Mercaderia</v>
      </c>
      <c r="Y175" s="82"/>
    </row>
    <row r="176" spans="11:25" ht="14.25" customHeight="1" x14ac:dyDescent="0.4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>
        <v>46141</v>
      </c>
      <c r="V176" s="1" t="str">
        <v>Alumina</v>
      </c>
      <c r="W176" s="132">
        <v>156630</v>
      </c>
      <c r="X176" s="3" t="str">
        <v>Mercaderia</v>
      </c>
      <c r="Y176" s="82"/>
    </row>
    <row r="177" spans="11:25" ht="14.25" customHeight="1" x14ac:dyDescent="0.4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>
        <v>46141</v>
      </c>
      <c r="V177" s="1" t="str">
        <v>Kloster</v>
      </c>
      <c r="W177" s="91">
        <v>165000</v>
      </c>
      <c r="X177" s="3" t="str">
        <v>Mercaderia</v>
      </c>
      <c r="Y177" s="82"/>
    </row>
    <row r="178" spans="11:25" ht="14.25" customHeight="1" x14ac:dyDescent="0.4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>
        <v>46141</v>
      </c>
      <c r="V178" s="1" t="str">
        <v>Jorge Carbon</v>
      </c>
      <c r="W178" s="91">
        <v>600000</v>
      </c>
      <c r="X178" s="3" t="str">
        <v>Mercaderia</v>
      </c>
      <c r="Y178" s="82"/>
    </row>
    <row r="179" spans="11:25" ht="14.25" customHeight="1" x14ac:dyDescent="0.4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>
        <v>46141</v>
      </c>
      <c r="V179" s="1" t="str">
        <v>Jorge Carbon</v>
      </c>
      <c r="W179" s="91">
        <v>500000</v>
      </c>
      <c r="X179" s="3" t="str">
        <v>Mercaderia</v>
      </c>
      <c r="Y179" s="82"/>
    </row>
    <row r="180" spans="11:25" ht="14.25" customHeight="1" x14ac:dyDescent="0.4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>
        <v>46141</v>
      </c>
      <c r="V180" s="1" t="str">
        <v>Claudio Resortes</v>
      </c>
      <c r="W180" s="91">
        <v>210000</v>
      </c>
      <c r="X180" s="3" t="str">
        <v>Mercaderia</v>
      </c>
      <c r="Y180" s="82"/>
    </row>
    <row r="181" spans="11:25" ht="14.25" customHeight="1" x14ac:dyDescent="0.4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>
        <v>46141</v>
      </c>
      <c r="V181" s="1" t="str">
        <v>Limpieza</v>
      </c>
      <c r="W181" s="91">
        <v>34000</v>
      </c>
      <c r="X181" s="3" t="str">
        <v>GVarios</v>
      </c>
      <c r="Y181" s="82"/>
    </row>
    <row r="182" spans="11:25" ht="14.25" customHeight="1" x14ac:dyDescent="0.4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>
        <v>46141</v>
      </c>
      <c r="V182" s="1" t="str">
        <v>GNC Corsa</v>
      </c>
      <c r="W182" s="91">
        <v>5097</v>
      </c>
      <c r="X182" s="3" t="str">
        <v>GVarios</v>
      </c>
      <c r="Y182" s="82"/>
    </row>
    <row r="183" spans="11:25" ht="14.25" customHeight="1" x14ac:dyDescent="0.4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>
        <v>46141</v>
      </c>
      <c r="V183" s="1" t="str">
        <v>Gabi consumibles</v>
      </c>
      <c r="W183" s="91">
        <v>9400</v>
      </c>
      <c r="X183" s="3" t="str">
        <v>GVarios</v>
      </c>
      <c r="Y183" s="82"/>
    </row>
    <row r="184" spans="11:25" ht="14.25" customHeight="1" x14ac:dyDescent="0.4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>
        <v>46142</v>
      </c>
      <c r="V184" s="1" t="str">
        <v>Jorge Plasticos</v>
      </c>
      <c r="W184" s="91">
        <v>50000</v>
      </c>
      <c r="X184" s="3" t="str">
        <v>Mercaderia</v>
      </c>
      <c r="Y184" s="82"/>
    </row>
    <row r="185" spans="11:25" ht="14.25" customHeight="1" x14ac:dyDescent="0.4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>
        <v>46142</v>
      </c>
      <c r="V185" s="1" t="str">
        <v>Tudanca</v>
      </c>
      <c r="W185" s="132">
        <v>120097.09999999999</v>
      </c>
      <c r="X185" s="3" t="str">
        <v>Mercaderia</v>
      </c>
      <c r="Y185" s="82"/>
    </row>
    <row r="186" spans="11:25" ht="14.25" customHeight="1" x14ac:dyDescent="0.4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>
        <v>46142</v>
      </c>
      <c r="V186" s="1" t="str">
        <v>Daniel CODIGO</v>
      </c>
      <c r="W186" s="91">
        <v>28000</v>
      </c>
      <c r="X186" s="3" t="str">
        <v>Mercaderia</v>
      </c>
      <c r="Y186" s="82"/>
    </row>
    <row r="187" spans="11:25" ht="14.25" customHeight="1" x14ac:dyDescent="0.4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>
        <v>46142</v>
      </c>
      <c r="V187" s="1" t="str">
        <v>Walter Gavetas</v>
      </c>
      <c r="W187" s="91">
        <v>100000</v>
      </c>
      <c r="X187" s="3" t="str">
        <v>Mercaderia</v>
      </c>
      <c r="Y187" s="82"/>
    </row>
    <row r="188" spans="11:25" ht="14.25" customHeight="1" x14ac:dyDescent="0.4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>
        <v>46142</v>
      </c>
      <c r="V188" s="1" t="str">
        <v>Naza Obra</v>
      </c>
      <c r="W188" s="91">
        <v>300000</v>
      </c>
      <c r="X188" s="3" t="str">
        <v>GVarios</v>
      </c>
      <c r="Y188" s="82"/>
    </row>
    <row r="189" spans="11:25" ht="14.25" customHeight="1" x14ac:dyDescent="0.4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4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4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4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4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4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4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4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4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4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4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4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4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4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4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4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4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4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4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4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4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4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4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4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4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4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4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4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4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4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4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4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4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4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4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4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4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4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5">
      <c r="K232" s="80">
        <v>46093</v>
      </c>
      <c r="L232" s="78" t="s">
        <v>154</v>
      </c>
      <c r="M232" s="115"/>
      <c r="N232" s="81">
        <v>400000</v>
      </c>
      <c r="P232" s="157"/>
      <c r="Q232" s="158" t="s">
        <v>289</v>
      </c>
      <c r="R232" s="160"/>
      <c r="S232" s="159">
        <v>631404.27</v>
      </c>
      <c r="U232" s="23"/>
      <c r="W232" s="91"/>
      <c r="X232" s="3"/>
    </row>
    <row r="233" spans="11:25" ht="14.25" customHeight="1" x14ac:dyDescent="0.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138</v>
      </c>
      <c r="R233" s="116"/>
      <c r="S233" s="161">
        <v>13200</v>
      </c>
      <c r="U233" s="23"/>
      <c r="W233" s="91"/>
      <c r="X233" s="3"/>
    </row>
    <row r="234" spans="11:25" ht="14.25" customHeight="1" x14ac:dyDescent="0.5">
      <c r="K234" s="80">
        <v>46090</v>
      </c>
      <c r="L234" s="78" t="s">
        <v>230</v>
      </c>
      <c r="M234" s="115"/>
      <c r="N234" s="81">
        <v>180000</v>
      </c>
      <c r="P234" s="80">
        <v>46133</v>
      </c>
      <c r="Q234" s="78" t="s">
        <v>176</v>
      </c>
      <c r="R234" s="116"/>
      <c r="S234" s="161">
        <v>12300</v>
      </c>
      <c r="U234" s="23"/>
      <c r="W234" s="91"/>
      <c r="X234" s="3"/>
    </row>
    <row r="235" spans="11:25" ht="14.25" customHeight="1" x14ac:dyDescent="0.5">
      <c r="K235" s="80">
        <v>46091</v>
      </c>
      <c r="L235" s="78" t="s">
        <v>230</v>
      </c>
      <c r="M235" s="115"/>
      <c r="N235" s="81">
        <v>36732.379999999997</v>
      </c>
      <c r="P235" s="80">
        <v>46134</v>
      </c>
      <c r="Q235" s="78" t="s">
        <v>176</v>
      </c>
      <c r="R235" s="116"/>
      <c r="S235" s="161">
        <v>9000</v>
      </c>
      <c r="U235" s="23"/>
      <c r="X235" s="3"/>
    </row>
    <row r="236" spans="11:25" ht="14.25" customHeight="1" x14ac:dyDescent="0.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138</v>
      </c>
      <c r="R236" s="116"/>
      <c r="S236" s="99">
        <v>8087</v>
      </c>
      <c r="X236" s="3"/>
    </row>
    <row r="237" spans="11:25" ht="14.25" customHeight="1" x14ac:dyDescent="0.5">
      <c r="K237" s="80">
        <v>46091</v>
      </c>
      <c r="L237" s="78" t="s">
        <v>125</v>
      </c>
      <c r="M237" s="115"/>
      <c r="N237" s="110">
        <v>600000</v>
      </c>
      <c r="P237" s="80">
        <v>46135</v>
      </c>
      <c r="Q237" s="78" t="s">
        <v>176</v>
      </c>
      <c r="R237" s="116"/>
      <c r="S237" s="99">
        <v>10400</v>
      </c>
      <c r="X237" s="3"/>
    </row>
    <row r="238" spans="11:25" ht="14.25" customHeight="1" x14ac:dyDescent="0.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112</v>
      </c>
      <c r="R238" s="116"/>
      <c r="S238" s="99">
        <v>80000</v>
      </c>
      <c r="X238" s="3"/>
    </row>
    <row r="239" spans="11:25" ht="14.25" customHeight="1" x14ac:dyDescent="0.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300000</v>
      </c>
      <c r="X239" s="3"/>
    </row>
    <row r="240" spans="11:25" ht="14.25" customHeight="1" x14ac:dyDescent="0.5">
      <c r="K240" s="80">
        <v>46092</v>
      </c>
      <c r="L240" s="78" t="s">
        <v>143</v>
      </c>
      <c r="M240" s="115"/>
      <c r="N240" s="110">
        <v>210000</v>
      </c>
      <c r="P240" s="80">
        <v>46136</v>
      </c>
      <c r="Q240" s="78" t="s">
        <v>135</v>
      </c>
      <c r="R240" s="116"/>
      <c r="S240" s="99">
        <v>512852.75</v>
      </c>
      <c r="X240" s="3"/>
    </row>
    <row r="241" spans="11:24" ht="14.25" customHeight="1" x14ac:dyDescent="0.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152</v>
      </c>
      <c r="R241" s="116"/>
      <c r="S241" s="99">
        <v>137000</v>
      </c>
      <c r="X241" s="3"/>
    </row>
    <row r="242" spans="11:24" ht="14.25" customHeight="1" x14ac:dyDescent="0.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292</v>
      </c>
      <c r="R242" s="116"/>
      <c r="S242" s="99">
        <f>145000*2</f>
        <v>290000</v>
      </c>
      <c r="X242" s="3"/>
    </row>
    <row r="243" spans="11:24" ht="14.25" customHeight="1" x14ac:dyDescent="0.5">
      <c r="K243" s="80">
        <v>46092</v>
      </c>
      <c r="L243" s="78" t="s">
        <v>136</v>
      </c>
      <c r="M243" s="115"/>
      <c r="N243" s="110">
        <v>38800</v>
      </c>
      <c r="P243" s="80">
        <v>46140</v>
      </c>
      <c r="Q243" s="78" t="s">
        <v>138</v>
      </c>
      <c r="R243" s="116"/>
      <c r="S243" s="99">
        <v>10000</v>
      </c>
      <c r="X243" s="3"/>
    </row>
    <row r="244" spans="11:24" ht="14.25" customHeight="1" x14ac:dyDescent="0.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236</v>
      </c>
      <c r="R244" s="116"/>
      <c r="S244" s="99">
        <v>34000</v>
      </c>
      <c r="X244" s="3"/>
    </row>
    <row r="245" spans="11:24" ht="14.25" customHeight="1" x14ac:dyDescent="0.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138</v>
      </c>
      <c r="R245" s="116"/>
      <c r="S245" s="99">
        <v>5097</v>
      </c>
      <c r="X245" s="3"/>
    </row>
    <row r="246" spans="11:24" ht="14.25" customHeight="1" x14ac:dyDescent="0.5">
      <c r="K246" s="80">
        <v>46092</v>
      </c>
      <c r="L246" s="78" t="s">
        <v>225</v>
      </c>
      <c r="M246" s="115"/>
      <c r="N246" s="81">
        <v>300000</v>
      </c>
      <c r="P246" s="80">
        <v>46141</v>
      </c>
      <c r="Q246" s="78" t="s">
        <v>176</v>
      </c>
      <c r="R246" s="116"/>
      <c r="S246" s="99">
        <v>9400</v>
      </c>
      <c r="X246" s="3"/>
    </row>
    <row r="247" spans="11:24" ht="14.25" customHeight="1" x14ac:dyDescent="0.5">
      <c r="K247" s="80">
        <v>46093</v>
      </c>
      <c r="L247" s="78" t="s">
        <v>256</v>
      </c>
      <c r="M247" s="115"/>
      <c r="N247" s="81">
        <v>263500</v>
      </c>
      <c r="P247" s="80">
        <v>46142</v>
      </c>
      <c r="Q247" s="78" t="s">
        <v>135</v>
      </c>
      <c r="R247" s="116"/>
      <c r="S247" s="99">
        <v>300000</v>
      </c>
      <c r="X247" s="3"/>
    </row>
    <row r="248" spans="11:24" ht="14.25" customHeight="1" x14ac:dyDescent="0.5">
      <c r="K248" s="80">
        <v>46093</v>
      </c>
      <c r="L248" s="78" t="s">
        <v>149</v>
      </c>
      <c r="M248" s="115"/>
      <c r="N248" s="81">
        <v>66000</v>
      </c>
      <c r="X248" s="3"/>
    </row>
    <row r="249" spans="11:24" ht="14.25" customHeight="1" x14ac:dyDescent="0.5">
      <c r="K249" s="80">
        <v>46093</v>
      </c>
      <c r="L249" s="78" t="s">
        <v>252</v>
      </c>
      <c r="M249" s="115"/>
      <c r="N249" s="81">
        <v>226936</v>
      </c>
      <c r="X249" s="3"/>
    </row>
    <row r="250" spans="11:24" ht="14.25" customHeight="1" x14ac:dyDescent="0.5">
      <c r="K250" s="80">
        <v>46093</v>
      </c>
      <c r="L250" s="78" t="s">
        <v>133</v>
      </c>
      <c r="M250" s="115"/>
      <c r="N250" s="81">
        <v>413000</v>
      </c>
      <c r="X250" s="3"/>
    </row>
    <row r="251" spans="11:24" ht="14.25" customHeight="1" x14ac:dyDescent="0.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5">
      <c r="K260" s="80">
        <v>46097</v>
      </c>
      <c r="L260" s="78" t="s">
        <v>144</v>
      </c>
      <c r="M260" s="115"/>
      <c r="N260" s="81">
        <v>100000</v>
      </c>
      <c r="X260" s="3"/>
    </row>
    <row r="261" spans="11:24" ht="14.25" customHeight="1" x14ac:dyDescent="0.5">
      <c r="K261" s="80">
        <v>46099</v>
      </c>
      <c r="L261" s="78" t="s">
        <v>125</v>
      </c>
      <c r="M261" s="115"/>
      <c r="N261" s="81">
        <v>823000</v>
      </c>
      <c r="Q261" s="154"/>
      <c r="X261" s="3"/>
    </row>
    <row r="262" spans="11:24" ht="14.25" customHeight="1" x14ac:dyDescent="0.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5">
      <c r="K270" s="80">
        <v>46100</v>
      </c>
      <c r="L270" s="78" t="s">
        <v>254</v>
      </c>
      <c r="M270" s="115"/>
      <c r="N270" s="81">
        <v>172200</v>
      </c>
      <c r="X270" s="3"/>
    </row>
    <row r="271" spans="11:24" ht="14.25" customHeight="1" x14ac:dyDescent="0.5">
      <c r="K271" s="80">
        <v>46100</v>
      </c>
      <c r="L271" s="78" t="s">
        <v>266</v>
      </c>
      <c r="M271" s="115"/>
      <c r="N271" s="81">
        <v>334162.89899999998</v>
      </c>
      <c r="R271" s="81"/>
      <c r="X271" s="3"/>
    </row>
    <row r="272" spans="11:24" ht="14.25" customHeight="1" x14ac:dyDescent="0.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5">
      <c r="X405" s="3"/>
    </row>
    <row r="406" spans="11:24" ht="14.25" customHeight="1" x14ac:dyDescent="0.5">
      <c r="N406" s="101"/>
      <c r="X406" s="3"/>
    </row>
    <row r="407" spans="11:24" ht="14.25" customHeight="1" x14ac:dyDescent="0.5">
      <c r="N407" s="101"/>
      <c r="X407" s="3"/>
    </row>
    <row r="408" spans="11:24" ht="14.25" customHeight="1" x14ac:dyDescent="0.5">
      <c r="X408" s="3"/>
    </row>
    <row r="409" spans="11:24" ht="14.25" customHeight="1" x14ac:dyDescent="0.5">
      <c r="N409" s="101"/>
      <c r="X409" s="3"/>
    </row>
    <row r="410" spans="11:24" ht="14.25" customHeight="1" x14ac:dyDescent="0.5">
      <c r="X410" s="3"/>
    </row>
    <row r="411" spans="11:24" ht="14.25" customHeight="1" x14ac:dyDescent="0.5">
      <c r="N411" s="101"/>
      <c r="X411" s="3"/>
    </row>
    <row r="412" spans="11:24" ht="14.25" customHeight="1" x14ac:dyDescent="0.5">
      <c r="N412" s="101"/>
      <c r="X412" s="3"/>
    </row>
    <row r="413" spans="11:24" ht="14.25" customHeight="1" x14ac:dyDescent="0.5">
      <c r="X413" s="3"/>
    </row>
    <row r="414" spans="11:24" ht="14.25" customHeight="1" x14ac:dyDescent="0.5">
      <c r="X414" s="3"/>
    </row>
    <row r="415" spans="11:24" ht="14.25" customHeight="1" x14ac:dyDescent="0.5">
      <c r="X415" s="3"/>
    </row>
    <row r="416" spans="11:24" ht="14.25" customHeight="1" x14ac:dyDescent="0.5">
      <c r="X416" s="3"/>
    </row>
    <row r="417" spans="24:24" ht="14.25" customHeight="1" x14ac:dyDescent="0.5">
      <c r="X417" s="3"/>
    </row>
    <row r="418" spans="24:24" ht="14.25" customHeight="1" x14ac:dyDescent="0.5">
      <c r="X418" s="3"/>
    </row>
    <row r="419" spans="24:24" ht="14.25" customHeight="1" x14ac:dyDescent="0.5">
      <c r="X419" s="3"/>
    </row>
    <row r="420" spans="24:24" ht="14.25" customHeight="1" x14ac:dyDescent="0.5">
      <c r="X420" s="3"/>
    </row>
    <row r="421" spans="24:24" ht="14.25" customHeight="1" x14ac:dyDescent="0.5">
      <c r="X421" s="3"/>
    </row>
    <row r="422" spans="24:24" ht="14.25" customHeight="1" x14ac:dyDescent="0.5">
      <c r="X422" s="3"/>
    </row>
    <row r="423" spans="24:24" ht="14.25" customHeight="1" x14ac:dyDescent="0.5">
      <c r="X423" s="3"/>
    </row>
    <row r="424" spans="24:24" ht="14.25" customHeight="1" x14ac:dyDescent="0.5">
      <c r="X424" s="3"/>
    </row>
    <row r="425" spans="24:24" ht="14.25" customHeight="1" x14ac:dyDescent="0.5">
      <c r="X425" s="3"/>
    </row>
    <row r="426" spans="24:24" ht="14.25" customHeight="1" x14ac:dyDescent="0.5">
      <c r="X426" s="3"/>
    </row>
    <row r="427" spans="24:24" ht="14.25" customHeight="1" x14ac:dyDescent="0.5">
      <c r="X427" s="3"/>
    </row>
    <row r="428" spans="24:24" ht="14.25" customHeight="1" x14ac:dyDescent="0.5">
      <c r="X428" s="3"/>
    </row>
    <row r="429" spans="24:24" ht="14.25" customHeight="1" x14ac:dyDescent="0.5">
      <c r="X429" s="3"/>
    </row>
    <row r="430" spans="24:24" ht="14.25" customHeight="1" x14ac:dyDescent="0.5">
      <c r="X430" s="3"/>
    </row>
    <row r="431" spans="24:24" ht="14.25" customHeight="1" x14ac:dyDescent="0.5">
      <c r="X431" s="3"/>
    </row>
    <row r="432" spans="24:24" ht="14.25" customHeight="1" x14ac:dyDescent="0.5">
      <c r="X432" s="3"/>
    </row>
    <row r="433" spans="24:24" ht="14.25" customHeight="1" x14ac:dyDescent="0.5">
      <c r="X433" s="3"/>
    </row>
    <row r="434" spans="24:24" ht="14.25" customHeight="1" x14ac:dyDescent="0.5">
      <c r="X434" s="3"/>
    </row>
    <row r="435" spans="24:24" ht="14.25" customHeight="1" x14ac:dyDescent="0.5">
      <c r="X435" s="3"/>
    </row>
    <row r="436" spans="24:24" ht="14.25" customHeight="1" x14ac:dyDescent="0.5">
      <c r="X436" s="3"/>
    </row>
    <row r="437" spans="24:24" ht="14.25" customHeight="1" x14ac:dyDescent="0.5">
      <c r="X437" s="3"/>
    </row>
    <row r="438" spans="24:24" ht="14.25" customHeight="1" x14ac:dyDescent="0.5">
      <c r="X438" s="3"/>
    </row>
    <row r="439" spans="24:24" ht="14.25" customHeight="1" x14ac:dyDescent="0.5">
      <c r="X439" s="3"/>
    </row>
    <row r="440" spans="24:24" ht="14.25" customHeight="1" x14ac:dyDescent="0.5">
      <c r="X440" s="3"/>
    </row>
    <row r="441" spans="24:24" ht="14.25" customHeight="1" x14ac:dyDescent="0.5">
      <c r="X441" s="3"/>
    </row>
    <row r="442" spans="24:24" ht="14.25" customHeight="1" x14ac:dyDescent="0.5">
      <c r="X442" s="3"/>
    </row>
    <row r="443" spans="24:24" ht="14.25" customHeight="1" x14ac:dyDescent="0.5">
      <c r="X443" s="3"/>
    </row>
    <row r="444" spans="24:24" ht="14.25" customHeight="1" x14ac:dyDescent="0.5">
      <c r="X444" s="3"/>
    </row>
    <row r="445" spans="24:24" ht="14.25" customHeight="1" x14ac:dyDescent="0.5">
      <c r="X445" s="3"/>
    </row>
    <row r="446" spans="24:24" ht="14.25" customHeight="1" x14ac:dyDescent="0.5">
      <c r="X446" s="3"/>
    </row>
    <row r="447" spans="24:24" ht="14.25" customHeight="1" x14ac:dyDescent="0.5">
      <c r="X447" s="3"/>
    </row>
    <row r="448" spans="24:24" ht="14.25" customHeight="1" x14ac:dyDescent="0.5">
      <c r="X448" s="3"/>
    </row>
    <row r="449" spans="24:24" ht="14.25" customHeight="1" x14ac:dyDescent="0.5">
      <c r="X449" s="3"/>
    </row>
    <row r="450" spans="24:24" ht="14.25" customHeight="1" x14ac:dyDescent="0.5">
      <c r="X450" s="3"/>
    </row>
    <row r="451" spans="24:24" ht="14.25" customHeight="1" x14ac:dyDescent="0.5">
      <c r="X451" s="3"/>
    </row>
    <row r="452" spans="24:24" ht="14.25" customHeight="1" x14ac:dyDescent="0.5">
      <c r="X452" s="3"/>
    </row>
    <row r="453" spans="24:24" ht="14.25" customHeight="1" x14ac:dyDescent="0.5">
      <c r="X453" s="3"/>
    </row>
    <row r="454" spans="24:24" ht="14.25" customHeight="1" x14ac:dyDescent="0.5">
      <c r="X454" s="3"/>
    </row>
    <row r="455" spans="24:24" ht="14.25" customHeight="1" x14ac:dyDescent="0.5">
      <c r="X455" s="3"/>
    </row>
    <row r="456" spans="24:24" ht="14.25" customHeight="1" x14ac:dyDescent="0.5">
      <c r="X456" s="3"/>
    </row>
    <row r="457" spans="24:24" ht="14.25" customHeight="1" x14ac:dyDescent="0.5">
      <c r="X457" s="3"/>
    </row>
    <row r="458" spans="24:24" ht="14.25" customHeight="1" x14ac:dyDescent="0.5">
      <c r="X458" s="3"/>
    </row>
    <row r="459" spans="24:24" ht="14.25" customHeight="1" x14ac:dyDescent="0.5">
      <c r="X459" s="3"/>
    </row>
    <row r="460" spans="24:24" ht="14.25" customHeight="1" x14ac:dyDescent="0.5">
      <c r="X460" s="3"/>
    </row>
    <row r="461" spans="24:24" ht="14.25" customHeight="1" x14ac:dyDescent="0.5">
      <c r="X461" s="3"/>
    </row>
    <row r="462" spans="24:24" ht="14.25" customHeight="1" x14ac:dyDescent="0.5">
      <c r="X462" s="3"/>
    </row>
    <row r="463" spans="24:24" ht="14.25" customHeight="1" x14ac:dyDescent="0.5">
      <c r="X463" s="3"/>
    </row>
    <row r="464" spans="24:24" ht="14.25" customHeight="1" x14ac:dyDescent="0.5">
      <c r="X464" s="3"/>
    </row>
    <row r="465" spans="24:24" ht="14.25" customHeight="1" x14ac:dyDescent="0.5">
      <c r="X465" s="3"/>
    </row>
    <row r="466" spans="24:24" ht="14.25" customHeight="1" x14ac:dyDescent="0.5">
      <c r="X466" s="3"/>
    </row>
    <row r="467" spans="24:24" ht="14.25" customHeight="1" x14ac:dyDescent="0.5">
      <c r="X467" s="3"/>
    </row>
    <row r="468" spans="24:24" ht="14.25" customHeight="1" x14ac:dyDescent="0.5">
      <c r="X468" s="3"/>
    </row>
    <row r="469" spans="24:24" ht="14.25" customHeight="1" x14ac:dyDescent="0.5">
      <c r="X469" s="3"/>
    </row>
    <row r="470" spans="24:24" ht="14.25" customHeight="1" x14ac:dyDescent="0.5">
      <c r="X470" s="3"/>
    </row>
    <row r="471" spans="24:24" ht="14.25" customHeight="1" x14ac:dyDescent="0.5">
      <c r="X471" s="3"/>
    </row>
    <row r="472" spans="24:24" ht="14.25" customHeight="1" x14ac:dyDescent="0.5">
      <c r="X472" s="3"/>
    </row>
    <row r="473" spans="24:24" ht="14.25" customHeight="1" x14ac:dyDescent="0.5">
      <c r="X473" s="3"/>
    </row>
    <row r="474" spans="24:24" ht="14.25" customHeight="1" x14ac:dyDescent="0.5">
      <c r="X474" s="3"/>
    </row>
    <row r="475" spans="24:24" ht="14.25" customHeight="1" x14ac:dyDescent="0.5">
      <c r="X475" s="3"/>
    </row>
    <row r="476" spans="24:24" ht="14.25" customHeight="1" x14ac:dyDescent="0.5">
      <c r="X476" s="3"/>
    </row>
    <row r="477" spans="24:24" ht="14.25" customHeight="1" x14ac:dyDescent="0.5">
      <c r="X477" s="3"/>
    </row>
    <row r="478" spans="24:24" ht="14.25" customHeight="1" x14ac:dyDescent="0.5">
      <c r="X478" s="3"/>
    </row>
    <row r="479" spans="24:24" ht="14.25" customHeight="1" x14ac:dyDescent="0.5">
      <c r="X479" s="3"/>
    </row>
    <row r="480" spans="24:24" ht="14.25" customHeight="1" x14ac:dyDescent="0.5">
      <c r="X480" s="3"/>
    </row>
    <row r="481" spans="24:24" ht="14.25" customHeight="1" x14ac:dyDescent="0.5">
      <c r="X481" s="3"/>
    </row>
    <row r="482" spans="24:24" ht="14.25" customHeight="1" x14ac:dyDescent="0.5">
      <c r="X482" s="3"/>
    </row>
    <row r="483" spans="24:24" ht="14.25" customHeight="1" x14ac:dyDescent="0.5">
      <c r="X483" s="3"/>
    </row>
    <row r="484" spans="24:24" ht="14.25" customHeight="1" x14ac:dyDescent="0.5">
      <c r="X484" s="3"/>
    </row>
    <row r="485" spans="24:24" ht="14.25" customHeight="1" x14ac:dyDescent="0.5">
      <c r="X485" s="3"/>
    </row>
    <row r="486" spans="24:24" ht="14.25" customHeight="1" x14ac:dyDescent="0.5">
      <c r="X486" s="3"/>
    </row>
    <row r="487" spans="24:24" ht="14.25" customHeight="1" x14ac:dyDescent="0.5">
      <c r="X487" s="3"/>
    </row>
    <row r="488" spans="24:24" ht="14.25" customHeight="1" x14ac:dyDescent="0.5">
      <c r="X488" s="3"/>
    </row>
    <row r="489" spans="24:24" ht="14.25" customHeight="1" x14ac:dyDescent="0.5">
      <c r="X489" s="3"/>
    </row>
    <row r="490" spans="24:24" ht="14.25" customHeight="1" x14ac:dyDescent="0.5">
      <c r="X490" s="3"/>
    </row>
    <row r="491" spans="24:24" ht="14.25" customHeight="1" x14ac:dyDescent="0.5">
      <c r="X491" s="3"/>
    </row>
    <row r="492" spans="24:24" ht="14.25" customHeight="1" x14ac:dyDescent="0.5">
      <c r="X492" s="3"/>
    </row>
    <row r="493" spans="24:24" ht="14.25" customHeight="1" x14ac:dyDescent="0.5">
      <c r="X493" s="3"/>
    </row>
    <row r="494" spans="24:24" ht="14.25" customHeight="1" x14ac:dyDescent="0.5">
      <c r="X494" s="3"/>
    </row>
    <row r="495" spans="24:24" ht="14.25" customHeight="1" x14ac:dyDescent="0.5">
      <c r="X495" s="3"/>
    </row>
    <row r="496" spans="24:24" ht="14.25" customHeight="1" x14ac:dyDescent="0.5">
      <c r="X496" s="3"/>
    </row>
    <row r="497" spans="24:24" ht="14.25" customHeight="1" x14ac:dyDescent="0.5">
      <c r="X497" s="3"/>
    </row>
    <row r="498" spans="24:24" ht="14.25" customHeight="1" x14ac:dyDescent="0.5">
      <c r="X498" s="3"/>
    </row>
    <row r="499" spans="24:24" ht="14.25" customHeight="1" x14ac:dyDescent="0.5">
      <c r="X499" s="3"/>
    </row>
    <row r="500" spans="24:24" ht="14.25" customHeight="1" x14ac:dyDescent="0.5">
      <c r="X500" s="3"/>
    </row>
    <row r="501" spans="24:24" ht="14.25" customHeight="1" x14ac:dyDescent="0.5">
      <c r="X501" s="3"/>
    </row>
    <row r="502" spans="24:24" ht="14.25" customHeight="1" x14ac:dyDescent="0.5">
      <c r="X502" s="3"/>
    </row>
    <row r="503" spans="24:24" ht="14.25" customHeight="1" x14ac:dyDescent="0.5">
      <c r="X503" s="3"/>
    </row>
    <row r="504" spans="24:24" ht="14.25" customHeight="1" x14ac:dyDescent="0.5">
      <c r="X504" s="3"/>
    </row>
    <row r="505" spans="24:24" ht="14.25" customHeight="1" x14ac:dyDescent="0.5">
      <c r="X505" s="3"/>
    </row>
    <row r="506" spans="24:24" ht="14.25" customHeight="1" x14ac:dyDescent="0.5">
      <c r="X506" s="3"/>
    </row>
    <row r="507" spans="24:24" ht="14.25" customHeight="1" x14ac:dyDescent="0.5">
      <c r="X507" s="3"/>
    </row>
    <row r="508" spans="24:24" ht="14.25" customHeight="1" x14ac:dyDescent="0.5">
      <c r="X508" s="3"/>
    </row>
    <row r="509" spans="24:24" ht="14.25" customHeight="1" x14ac:dyDescent="0.5">
      <c r="X509" s="3"/>
    </row>
    <row r="510" spans="24:24" ht="14.25" customHeight="1" x14ac:dyDescent="0.5">
      <c r="X510" s="3"/>
    </row>
    <row r="511" spans="24:24" ht="14.25" customHeight="1" x14ac:dyDescent="0.5">
      <c r="X511" s="3"/>
    </row>
    <row r="512" spans="24:24" ht="14.25" customHeight="1" x14ac:dyDescent="0.5">
      <c r="X512" s="3"/>
    </row>
    <row r="513" spans="24:24" ht="14.25" customHeight="1" x14ac:dyDescent="0.5">
      <c r="X513" s="3"/>
    </row>
    <row r="514" spans="24:24" ht="14.25" customHeight="1" x14ac:dyDescent="0.5">
      <c r="X514" s="3"/>
    </row>
    <row r="515" spans="24:24" ht="14.25" customHeight="1" x14ac:dyDescent="0.5">
      <c r="X515" s="3"/>
    </row>
    <row r="516" spans="24:24" ht="14.25" customHeight="1" x14ac:dyDescent="0.5">
      <c r="X516" s="3"/>
    </row>
    <row r="517" spans="24:24" ht="14.25" customHeight="1" x14ac:dyDescent="0.5">
      <c r="X517" s="3"/>
    </row>
    <row r="518" spans="24:24" ht="14.25" customHeight="1" x14ac:dyDescent="0.5">
      <c r="X518" s="3"/>
    </row>
    <row r="519" spans="24:24" ht="14.25" customHeight="1" x14ac:dyDescent="0.5">
      <c r="X519" s="3"/>
    </row>
    <row r="520" spans="24:24" ht="14.25" customHeight="1" x14ac:dyDescent="0.5">
      <c r="X520" s="3"/>
    </row>
    <row r="521" spans="24:24" ht="14.25" customHeight="1" x14ac:dyDescent="0.5">
      <c r="X521" s="3"/>
    </row>
    <row r="522" spans="24:24" ht="14.25" customHeight="1" x14ac:dyDescent="0.5">
      <c r="X522" s="3"/>
    </row>
    <row r="523" spans="24:24" ht="14.25" customHeight="1" x14ac:dyDescent="0.5">
      <c r="X523" s="3"/>
    </row>
    <row r="524" spans="24:24" ht="14.25" customHeight="1" x14ac:dyDescent="0.5">
      <c r="X524" s="3"/>
    </row>
    <row r="525" spans="24:24" ht="14.25" customHeight="1" x14ac:dyDescent="0.5">
      <c r="X525" s="3"/>
    </row>
    <row r="526" spans="24:24" ht="14.25" customHeight="1" x14ac:dyDescent="0.5">
      <c r="X526" s="3"/>
    </row>
    <row r="527" spans="24:24" ht="14.25" customHeight="1" x14ac:dyDescent="0.5">
      <c r="X527" s="3"/>
    </row>
    <row r="528" spans="24:24" ht="14.25" customHeight="1" x14ac:dyDescent="0.5">
      <c r="X528" s="3"/>
    </row>
    <row r="529" spans="24:24" ht="14.25" customHeight="1" x14ac:dyDescent="0.5">
      <c r="X529" s="3"/>
    </row>
    <row r="530" spans="24:24" ht="14.25" customHeight="1" x14ac:dyDescent="0.5">
      <c r="X530" s="3"/>
    </row>
    <row r="531" spans="24:24" ht="14.25" customHeight="1" x14ac:dyDescent="0.5">
      <c r="X531" s="3"/>
    </row>
    <row r="532" spans="24:24" ht="14.25" customHeight="1" x14ac:dyDescent="0.5">
      <c r="X532" s="3"/>
    </row>
    <row r="533" spans="24:24" ht="14.25" customHeight="1" x14ac:dyDescent="0.5">
      <c r="X533" s="3"/>
    </row>
    <row r="534" spans="24:24" ht="14.25" customHeight="1" x14ac:dyDescent="0.5">
      <c r="X534" s="3"/>
    </row>
    <row r="535" spans="24:24" ht="14.25" customHeight="1" x14ac:dyDescent="0.5">
      <c r="X535" s="3"/>
    </row>
    <row r="536" spans="24:24" ht="14.25" customHeight="1" x14ac:dyDescent="0.5">
      <c r="X536" s="3"/>
    </row>
    <row r="537" spans="24:24" ht="14.25" customHeight="1" x14ac:dyDescent="0.5">
      <c r="X537" s="3"/>
    </row>
    <row r="538" spans="24:24" ht="14.25" customHeight="1" x14ac:dyDescent="0.5">
      <c r="X538" s="3"/>
    </row>
    <row r="539" spans="24:24" ht="14.25" customHeight="1" x14ac:dyDescent="0.5">
      <c r="X539" s="3"/>
    </row>
    <row r="540" spans="24:24" ht="14.25" customHeight="1" x14ac:dyDescent="0.5">
      <c r="X540" s="3"/>
    </row>
    <row r="541" spans="24:24" ht="14.25" customHeight="1" x14ac:dyDescent="0.5">
      <c r="X541" s="3"/>
    </row>
    <row r="542" spans="24:24" ht="14.25" customHeight="1" x14ac:dyDescent="0.5">
      <c r="X542" s="3"/>
    </row>
    <row r="543" spans="24:24" ht="14.25" customHeight="1" x14ac:dyDescent="0.5">
      <c r="X543" s="3"/>
    </row>
    <row r="544" spans="24:24" ht="14.25" customHeight="1" x14ac:dyDescent="0.5">
      <c r="X544" s="3"/>
    </row>
    <row r="545" spans="24:24" ht="14.25" customHeight="1" x14ac:dyDescent="0.5">
      <c r="X545" s="3"/>
    </row>
    <row r="546" spans="24:24" ht="14.25" customHeight="1" x14ac:dyDescent="0.5">
      <c r="X546" s="3"/>
    </row>
    <row r="547" spans="24:24" ht="14.25" customHeight="1" x14ac:dyDescent="0.5">
      <c r="X547" s="3"/>
    </row>
    <row r="548" spans="24:24" ht="14.25" customHeight="1" x14ac:dyDescent="0.5">
      <c r="X548" s="3"/>
    </row>
    <row r="549" spans="24:24" ht="14.25" customHeight="1" x14ac:dyDescent="0.5">
      <c r="X549" s="3"/>
    </row>
    <row r="550" spans="24:24" ht="14.25" customHeight="1" x14ac:dyDescent="0.5">
      <c r="X550" s="3"/>
    </row>
    <row r="551" spans="24:24" ht="14.25" customHeight="1" x14ac:dyDescent="0.5">
      <c r="X551" s="3"/>
    </row>
    <row r="552" spans="24:24" ht="14.25" customHeight="1" x14ac:dyDescent="0.5">
      <c r="X552" s="3"/>
    </row>
    <row r="553" spans="24:24" ht="14.25" customHeight="1" x14ac:dyDescent="0.5">
      <c r="X553" s="3"/>
    </row>
    <row r="554" spans="24:24" ht="14.25" customHeight="1" x14ac:dyDescent="0.5">
      <c r="X554" s="3"/>
    </row>
    <row r="555" spans="24:24" ht="14.25" customHeight="1" x14ac:dyDescent="0.5">
      <c r="X555" s="3"/>
    </row>
    <row r="556" spans="24:24" ht="14.25" customHeight="1" x14ac:dyDescent="0.5">
      <c r="X556" s="3"/>
    </row>
    <row r="557" spans="24:24" ht="14.25" customHeight="1" x14ac:dyDescent="0.5">
      <c r="X557" s="3"/>
    </row>
    <row r="558" spans="24:24" ht="14.25" customHeight="1" x14ac:dyDescent="0.5">
      <c r="X558" s="3"/>
    </row>
    <row r="559" spans="24:24" ht="14.25" customHeight="1" x14ac:dyDescent="0.5">
      <c r="X559" s="3"/>
    </row>
    <row r="560" spans="24:24" ht="14.25" customHeight="1" x14ac:dyDescent="0.5">
      <c r="X560" s="3"/>
    </row>
    <row r="561" spans="24:24" ht="14.25" customHeight="1" x14ac:dyDescent="0.5">
      <c r="X561" s="3"/>
    </row>
    <row r="562" spans="24:24" ht="14.25" customHeight="1" x14ac:dyDescent="0.5">
      <c r="X562" s="3"/>
    </row>
    <row r="563" spans="24:24" ht="14.25" customHeight="1" x14ac:dyDescent="0.5">
      <c r="X563" s="3"/>
    </row>
    <row r="564" spans="24:24" ht="14.25" customHeight="1" x14ac:dyDescent="0.5">
      <c r="X564" s="3"/>
    </row>
    <row r="565" spans="24:24" ht="14.25" customHeight="1" x14ac:dyDescent="0.5">
      <c r="X565" s="3"/>
    </row>
    <row r="566" spans="24:24" ht="14.25" customHeight="1" x14ac:dyDescent="0.5">
      <c r="X566" s="3"/>
    </row>
    <row r="567" spans="24:24" ht="14.25" customHeight="1" x14ac:dyDescent="0.5">
      <c r="X567" s="3"/>
    </row>
    <row r="568" spans="24:24" ht="14.25" customHeight="1" x14ac:dyDescent="0.5">
      <c r="X568" s="3"/>
    </row>
    <row r="569" spans="24:24" ht="14.25" customHeight="1" x14ac:dyDescent="0.5">
      <c r="X569" s="3"/>
    </row>
    <row r="570" spans="24:24" ht="14.25" customHeight="1" x14ac:dyDescent="0.5">
      <c r="X570" s="3"/>
    </row>
    <row r="571" spans="24:24" ht="14.25" customHeight="1" x14ac:dyDescent="0.5">
      <c r="X571" s="3"/>
    </row>
    <row r="572" spans="24:24" ht="14.25" customHeight="1" x14ac:dyDescent="0.5">
      <c r="X572" s="3"/>
    </row>
    <row r="573" spans="24:24" ht="14.25" customHeight="1" x14ac:dyDescent="0.5">
      <c r="X573" s="3"/>
    </row>
    <row r="574" spans="24:24" ht="14.25" customHeight="1" x14ac:dyDescent="0.5">
      <c r="X574" s="3"/>
    </row>
    <row r="575" spans="24:24" ht="14.25" customHeight="1" x14ac:dyDescent="0.5">
      <c r="X575" s="3"/>
    </row>
    <row r="576" spans="24:24" ht="14.25" customHeight="1" x14ac:dyDescent="0.5"/>
    <row r="577" ht="14.25" customHeight="1" x14ac:dyDescent="0.5"/>
    <row r="578" ht="14.25" customHeight="1" x14ac:dyDescent="0.5"/>
    <row r="579" ht="14.25" customHeight="1" x14ac:dyDescent="0.5"/>
    <row r="580" ht="14.25" customHeight="1" x14ac:dyDescent="0.5"/>
    <row r="581" ht="14.25" customHeight="1" x14ac:dyDescent="0.5"/>
    <row r="582" ht="14.25" customHeight="1" x14ac:dyDescent="0.5"/>
    <row r="583" ht="14.25" customHeight="1" x14ac:dyDescent="0.5"/>
    <row r="584" ht="14.25" customHeight="1" x14ac:dyDescent="0.5"/>
    <row r="585" ht="14.25" customHeight="1" x14ac:dyDescent="0.5"/>
    <row r="586" ht="14.25" customHeight="1" x14ac:dyDescent="0.5"/>
    <row r="587" ht="14.25" customHeight="1" x14ac:dyDescent="0.5"/>
    <row r="588" ht="14.25" customHeight="1" x14ac:dyDescent="0.5"/>
    <row r="589" ht="14.25" customHeight="1" x14ac:dyDescent="0.5"/>
    <row r="590" ht="14.25" customHeight="1" x14ac:dyDescent="0.5"/>
    <row r="591" ht="14.25" customHeight="1" x14ac:dyDescent="0.5"/>
    <row r="592" ht="14.25" customHeight="1" x14ac:dyDescent="0.5"/>
    <row r="593" ht="14.25" customHeight="1" x14ac:dyDescent="0.5"/>
    <row r="594" ht="14.25" customHeight="1" x14ac:dyDescent="0.5"/>
    <row r="595" ht="14.25" customHeight="1" x14ac:dyDescent="0.5"/>
    <row r="596" ht="14.25" customHeight="1" x14ac:dyDescent="0.5"/>
    <row r="597" ht="14.25" customHeight="1" x14ac:dyDescent="0.5"/>
    <row r="598" ht="14.25" customHeight="1" x14ac:dyDescent="0.5"/>
    <row r="599" ht="14.25" customHeight="1" x14ac:dyDescent="0.5"/>
    <row r="600" ht="14.25" customHeight="1" x14ac:dyDescent="0.5"/>
    <row r="601" ht="14.25" customHeight="1" x14ac:dyDescent="0.5"/>
    <row r="602" ht="14.25" customHeight="1" x14ac:dyDescent="0.5"/>
    <row r="603" ht="14.25" customHeight="1" x14ac:dyDescent="0.5"/>
    <row r="604" ht="14.25" customHeight="1" x14ac:dyDescent="0.5"/>
    <row r="605" ht="14.25" customHeight="1" x14ac:dyDescent="0.5"/>
    <row r="606" ht="14.25" customHeight="1" x14ac:dyDescent="0.5"/>
    <row r="607" ht="14.25" customHeight="1" x14ac:dyDescent="0.5"/>
    <row r="608" ht="14.25" customHeight="1" x14ac:dyDescent="0.5"/>
    <row r="609" ht="14.25" customHeight="1" x14ac:dyDescent="0.5"/>
    <row r="610" ht="14.25" customHeight="1" x14ac:dyDescent="0.5"/>
    <row r="611" ht="14.25" customHeight="1" x14ac:dyDescent="0.5"/>
    <row r="612" ht="14.25" customHeight="1" x14ac:dyDescent="0.5"/>
    <row r="613" ht="14.25" customHeight="1" x14ac:dyDescent="0.5"/>
    <row r="614" ht="14.25" customHeight="1" x14ac:dyDescent="0.5"/>
    <row r="615" ht="14.25" customHeight="1" x14ac:dyDescent="0.5"/>
    <row r="616" ht="14.25" customHeight="1" x14ac:dyDescent="0.5"/>
    <row r="617" ht="14.25" customHeight="1" x14ac:dyDescent="0.5"/>
    <row r="618" ht="14.25" customHeight="1" x14ac:dyDescent="0.5"/>
    <row r="619" ht="14.25" customHeight="1" x14ac:dyDescent="0.5"/>
    <row r="620" ht="14.25" customHeight="1" x14ac:dyDescent="0.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count="1">
    <dataValidation type="list" allowBlank="1" showInputMessage="1" showErrorMessage="1" sqref="R3:R232 M3:M404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88"/>
  <sheetViews>
    <sheetView workbookViewId="0">
      <selection activeCell="F9" sqref="F9"/>
    </sheetView>
  </sheetViews>
  <sheetFormatPr baseColWidth="10" defaultRowHeight="14.25" x14ac:dyDescent="0.45"/>
  <cols>
    <col min="1" max="1" width="10.73046875" bestFit="1" customWidth="1"/>
    <col min="2" max="2" width="11.3984375" bestFit="1" customWidth="1"/>
    <col min="3" max="3" width="14.86328125" bestFit="1" customWidth="1"/>
    <col min="5" max="5" width="8.1328125" bestFit="1" customWidth="1"/>
    <col min="6" max="6" width="7.73046875" bestFit="1" customWidth="1"/>
    <col min="7" max="7" width="12.1328125" bestFit="1" customWidth="1"/>
  </cols>
  <sheetData>
    <row r="1" spans="1:7" ht="14.65" thickBot="1" x14ac:dyDescent="0.5">
      <c r="A1" s="179" t="s">
        <v>84</v>
      </c>
      <c r="B1" s="180"/>
      <c r="C1" s="181"/>
      <c r="E1" s="179" t="s">
        <v>84</v>
      </c>
      <c r="F1" s="180"/>
      <c r="G1" s="181"/>
    </row>
    <row r="2" spans="1:7" x14ac:dyDescent="0.4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45">
      <c r="A3" s="163">
        <v>45968</v>
      </c>
      <c r="B3" s="1" t="s">
        <v>84</v>
      </c>
      <c r="C3" s="87">
        <v>345000</v>
      </c>
      <c r="E3" s="162">
        <v>45968</v>
      </c>
      <c r="F3" s="70" t="s">
        <v>185</v>
      </c>
      <c r="G3" s="164">
        <f>+SUMIFS(Sueldos[Valor],Sueldos[Fecha],Sueldos2[[#This Row],[Fecha]])</f>
        <v>1841375</v>
      </c>
    </row>
    <row r="4" spans="1:7" x14ac:dyDescent="0.45">
      <c r="A4" s="163">
        <v>45968</v>
      </c>
      <c r="B4" s="1" t="s">
        <v>84</v>
      </c>
      <c r="C4" s="87">
        <v>227000</v>
      </c>
      <c r="E4" s="162">
        <v>45975</v>
      </c>
      <c r="F4" s="70" t="s">
        <v>185</v>
      </c>
      <c r="G4" s="164">
        <f>+SUMIFS(Sueldos[Valor],Sueldos[Fecha],Sueldos2[[#This Row],[Fecha]])</f>
        <v>3006390</v>
      </c>
    </row>
    <row r="5" spans="1:7" x14ac:dyDescent="0.45">
      <c r="A5" s="163">
        <v>45968</v>
      </c>
      <c r="B5" s="1" t="s">
        <v>84</v>
      </c>
      <c r="C5" s="87">
        <v>278125</v>
      </c>
      <c r="E5" s="162">
        <v>45982</v>
      </c>
      <c r="F5" s="70" t="s">
        <v>185</v>
      </c>
      <c r="G5" s="164">
        <f>+SUMIFS(Sueldos[Valor],Sueldos[Fecha],Sueldos2[[#This Row],[Fecha]])</f>
        <v>1583969</v>
      </c>
    </row>
    <row r="6" spans="1:7" x14ac:dyDescent="0.45">
      <c r="A6" s="163">
        <v>45968</v>
      </c>
      <c r="B6" s="1" t="s">
        <v>84</v>
      </c>
      <c r="C6" s="87">
        <v>280000</v>
      </c>
      <c r="E6" s="162">
        <v>45989</v>
      </c>
      <c r="F6" s="70" t="s">
        <v>185</v>
      </c>
      <c r="G6" s="164">
        <f>+SUMIFS(Sueldos[Valor],Sueldos[Fecha],Sueldos2[[#This Row],[Fecha]])</f>
        <v>2658200</v>
      </c>
    </row>
    <row r="7" spans="1:7" x14ac:dyDescent="0.45">
      <c r="A7" s="163">
        <v>45968</v>
      </c>
      <c r="B7" s="1" t="s">
        <v>84</v>
      </c>
      <c r="C7" s="87">
        <v>125000</v>
      </c>
      <c r="E7" s="162">
        <v>45996</v>
      </c>
      <c r="F7" s="70" t="s">
        <v>185</v>
      </c>
      <c r="G7" s="164">
        <f>+SUMIFS(Sueldos[Valor],Sueldos[Fecha],Sueldos2[[#This Row],[Fecha]])</f>
        <v>2738875</v>
      </c>
    </row>
    <row r="8" spans="1:7" x14ac:dyDescent="0.45">
      <c r="A8" s="163">
        <v>45968</v>
      </c>
      <c r="B8" s="1" t="s">
        <v>84</v>
      </c>
      <c r="C8" s="87">
        <v>270000</v>
      </c>
      <c r="E8" s="162">
        <v>46003</v>
      </c>
      <c r="F8" s="70" t="s">
        <v>185</v>
      </c>
      <c r="G8" s="164">
        <f>+SUMIFS(Sueldos[Valor],Sueldos[Fecha],Sueldos2[[#This Row],[Fecha]])</f>
        <v>3076473</v>
      </c>
    </row>
    <row r="9" spans="1:7" x14ac:dyDescent="0.45">
      <c r="A9" s="163">
        <v>45968</v>
      </c>
      <c r="B9" s="1" t="s">
        <v>84</v>
      </c>
      <c r="C9" s="87">
        <v>316250</v>
      </c>
      <c r="E9" s="162">
        <v>46010</v>
      </c>
      <c r="F9" s="70" t="s">
        <v>185</v>
      </c>
      <c r="G9" s="164">
        <f>+SUMIFS(Sueldos[Valor],Sueldos[Fecha],Sueldos2[[#This Row],[Fecha]])</f>
        <v>2881798.99</v>
      </c>
    </row>
    <row r="10" spans="1:7" x14ac:dyDescent="0.45">
      <c r="A10" s="163">
        <v>45975</v>
      </c>
      <c r="B10" s="1" t="s">
        <v>84</v>
      </c>
      <c r="C10" s="87">
        <v>300000</v>
      </c>
      <c r="E10" s="162">
        <v>46017</v>
      </c>
      <c r="F10" s="70" t="s">
        <v>185</v>
      </c>
      <c r="G10" s="164">
        <f>+SUMIFS(Sueldos[Valor],Sueldos[Fecha],Sueldos2[[#This Row],[Fecha]])</f>
        <v>2478250</v>
      </c>
    </row>
    <row r="11" spans="1:7" x14ac:dyDescent="0.45">
      <c r="A11" s="163">
        <v>45975</v>
      </c>
      <c r="B11" s="1" t="s">
        <v>84</v>
      </c>
      <c r="C11" s="87">
        <v>280000</v>
      </c>
      <c r="E11" s="162">
        <v>46024</v>
      </c>
      <c r="F11" s="70" t="s">
        <v>185</v>
      </c>
      <c r="G11" s="164">
        <f>+SUMIFS(Sueldos[Valor],Sueldos[Fecha],Sueldos2[[#This Row],[Fecha]])</f>
        <v>990828</v>
      </c>
    </row>
    <row r="12" spans="1:7" x14ac:dyDescent="0.45">
      <c r="A12" s="163">
        <v>45975</v>
      </c>
      <c r="B12" s="1" t="s">
        <v>84</v>
      </c>
      <c r="C12" s="87">
        <v>256000</v>
      </c>
      <c r="E12" s="162">
        <v>46031</v>
      </c>
      <c r="F12" s="70" t="s">
        <v>185</v>
      </c>
      <c r="G12" s="164">
        <f>+SUMIFS(Sueldos[Valor],Sueldos[Fecha],Sueldos2[[#This Row],[Fecha]])</f>
        <v>3061246.625</v>
      </c>
    </row>
    <row r="13" spans="1:7" x14ac:dyDescent="0.45">
      <c r="A13" s="163">
        <v>45975</v>
      </c>
      <c r="B13" s="1" t="s">
        <v>84</v>
      </c>
      <c r="C13" s="87">
        <v>747500</v>
      </c>
      <c r="E13" s="162">
        <v>46038</v>
      </c>
      <c r="F13" s="70" t="s">
        <v>185</v>
      </c>
      <c r="G13" s="164">
        <f>+SUMIFS(Sueldos[Valor],Sueldos[Fecha],Sueldos2[[#This Row],[Fecha]])</f>
        <v>1716048</v>
      </c>
    </row>
    <row r="14" spans="1:7" x14ac:dyDescent="0.45">
      <c r="A14" s="163">
        <v>45975</v>
      </c>
      <c r="B14" s="1" t="s">
        <v>84</v>
      </c>
      <c r="C14" s="87">
        <v>275000</v>
      </c>
      <c r="E14" s="162">
        <v>46045</v>
      </c>
      <c r="F14" s="70" t="s">
        <v>185</v>
      </c>
      <c r="G14" s="164">
        <f>+SUMIFS(Sueldos[Valor],Sueldos[Fecha],Sueldos2[[#This Row],[Fecha]])</f>
        <v>2906990.2199999997</v>
      </c>
    </row>
    <row r="15" spans="1:7" x14ac:dyDescent="0.45">
      <c r="A15" s="163">
        <v>45975</v>
      </c>
      <c r="B15" s="1" t="s">
        <v>84</v>
      </c>
      <c r="C15" s="87">
        <v>268750</v>
      </c>
      <c r="E15" s="162">
        <v>46052</v>
      </c>
      <c r="F15" s="70" t="s">
        <v>185</v>
      </c>
      <c r="G15" s="164">
        <f>+SUMIFS(Sueldos[Valor],Sueldos[Fecha],Sueldos2[[#This Row],[Fecha]])</f>
        <v>2798682</v>
      </c>
    </row>
    <row r="16" spans="1:7" x14ac:dyDescent="0.45">
      <c r="A16" s="163">
        <v>45975</v>
      </c>
      <c r="B16" s="1" t="s">
        <v>84</v>
      </c>
      <c r="C16" s="87">
        <v>125000</v>
      </c>
      <c r="E16" s="162">
        <v>46059</v>
      </c>
      <c r="F16" s="70" t="s">
        <v>185</v>
      </c>
      <c r="G16" s="164">
        <f>+SUMIFS(Sueldos[Valor],Sueldos[Fecha],Sueldos2[[#This Row],[Fecha]])</f>
        <v>2995483</v>
      </c>
    </row>
    <row r="17" spans="1:7" x14ac:dyDescent="0.45">
      <c r="A17" s="163">
        <v>45975</v>
      </c>
      <c r="B17" s="1" t="s">
        <v>84</v>
      </c>
      <c r="C17" s="87">
        <v>180000</v>
      </c>
      <c r="E17" s="162">
        <v>46066</v>
      </c>
      <c r="F17" s="70" t="s">
        <v>185</v>
      </c>
      <c r="G17" s="164">
        <f>+SUMIFS(Sueldos[Valor],Sueldos[Fecha],Sueldos2[[#This Row],[Fecha]])</f>
        <v>2437000</v>
      </c>
    </row>
    <row r="18" spans="1:7" x14ac:dyDescent="0.45">
      <c r="A18" s="163">
        <v>45975</v>
      </c>
      <c r="B18" s="1" t="s">
        <v>84</v>
      </c>
      <c r="C18" s="87">
        <v>574140</v>
      </c>
      <c r="E18" s="162">
        <v>46073</v>
      </c>
      <c r="F18" s="70" t="s">
        <v>185</v>
      </c>
      <c r="G18" s="164">
        <f>+SUMIFS(Sueldos[Valor],Sueldos[Fecha],Sueldos2[[#This Row],[Fecha]])</f>
        <v>2323000</v>
      </c>
    </row>
    <row r="19" spans="1:7" x14ac:dyDescent="0.45">
      <c r="A19" s="163">
        <v>45982</v>
      </c>
      <c r="B19" s="1" t="s">
        <v>84</v>
      </c>
      <c r="C19" s="87">
        <v>300000</v>
      </c>
      <c r="E19" s="162">
        <v>46080</v>
      </c>
      <c r="F19" s="70" t="s">
        <v>185</v>
      </c>
      <c r="G19" s="164">
        <f>+SUMIFS(Sueldos[Valor],Sueldos[Fecha],Sueldos2[[#This Row],[Fecha]])</f>
        <v>1862114.91</v>
      </c>
    </row>
    <row r="20" spans="1:7" x14ac:dyDescent="0.45">
      <c r="A20" s="163">
        <v>45982</v>
      </c>
      <c r="B20" s="1" t="s">
        <v>84</v>
      </c>
      <c r="C20" s="87">
        <v>206000</v>
      </c>
      <c r="E20" s="162">
        <v>46087</v>
      </c>
      <c r="F20" s="70" t="s">
        <v>185</v>
      </c>
      <c r="G20" s="164">
        <f>+SUMIFS(Sueldos[Valor],Sueldos[Fecha],Sueldos2[[#This Row],[Fecha]])</f>
        <v>3044856</v>
      </c>
    </row>
    <row r="21" spans="1:7" x14ac:dyDescent="0.45">
      <c r="A21" s="163">
        <v>45982</v>
      </c>
      <c r="B21" s="1" t="s">
        <v>84</v>
      </c>
      <c r="C21" s="87">
        <v>312969</v>
      </c>
      <c r="E21" s="162">
        <v>46094</v>
      </c>
      <c r="F21" s="70" t="s">
        <v>185</v>
      </c>
      <c r="G21" s="164">
        <f>+SUMIFS(Sueldos[Valor],Sueldos[Fecha],Sueldos2[[#This Row],[Fecha]])</f>
        <v>2263392.61</v>
      </c>
    </row>
    <row r="22" spans="1:7" x14ac:dyDescent="0.45">
      <c r="A22" s="163">
        <v>45982</v>
      </c>
      <c r="B22" s="1" t="s">
        <v>84</v>
      </c>
      <c r="C22" s="87">
        <v>280000</v>
      </c>
      <c r="E22" s="162">
        <v>46101</v>
      </c>
      <c r="F22" s="70" t="s">
        <v>185</v>
      </c>
      <c r="G22" s="164">
        <f>+SUMIFS(Sueldos[Valor],Sueldos[Fecha],Sueldos2[[#This Row],[Fecha]])</f>
        <v>3402313</v>
      </c>
    </row>
    <row r="23" spans="1:7" x14ac:dyDescent="0.45">
      <c r="A23" s="163">
        <v>45982</v>
      </c>
      <c r="B23" s="1" t="s">
        <v>84</v>
      </c>
      <c r="C23" s="87">
        <v>180000</v>
      </c>
      <c r="E23" s="162">
        <v>46108</v>
      </c>
      <c r="F23" s="70" t="s">
        <v>185</v>
      </c>
      <c r="G23" s="164">
        <f>+SUMIFS(Sueldos[Valor],Sueldos[Fecha],Sueldos2[[#This Row],[Fecha]])</f>
        <v>1931815</v>
      </c>
    </row>
    <row r="24" spans="1:7" x14ac:dyDescent="0.45">
      <c r="A24" s="163">
        <v>45982</v>
      </c>
      <c r="B24" s="1" t="s">
        <v>84</v>
      </c>
      <c r="C24" s="87">
        <v>305000</v>
      </c>
      <c r="E24" s="162">
        <v>46113</v>
      </c>
      <c r="F24" s="70" t="s">
        <v>185</v>
      </c>
      <c r="G24" s="164">
        <f>+SUMIFS(Sueldos[Valor],Sueldos[Fecha],Sueldos2[[#This Row],[Fecha]])</f>
        <v>3261850</v>
      </c>
    </row>
    <row r="25" spans="1:7" x14ac:dyDescent="0.45">
      <c r="A25" s="163">
        <v>45989</v>
      </c>
      <c r="B25" s="1" t="s">
        <v>84</v>
      </c>
      <c r="C25" s="87">
        <v>300000</v>
      </c>
      <c r="E25" s="162">
        <v>46122</v>
      </c>
      <c r="F25" s="70" t="s">
        <v>185</v>
      </c>
      <c r="G25" s="164">
        <f>+SUMIFS(Sueldos[Valor],Sueldos[Fecha],Sueldos2[[#This Row],[Fecha]])</f>
        <v>1740000</v>
      </c>
    </row>
    <row r="26" spans="1:7" x14ac:dyDescent="0.45">
      <c r="A26" s="163">
        <v>45989</v>
      </c>
      <c r="B26" s="1" t="s">
        <v>84</v>
      </c>
      <c r="C26" s="87">
        <v>280000</v>
      </c>
      <c r="E26" s="162">
        <v>46129</v>
      </c>
      <c r="F26" s="70" t="s">
        <v>185</v>
      </c>
      <c r="G26" s="164">
        <f>+SUMIFS(Sueldos[Valor],Sueldos[Fecha],Sueldos2[[#This Row],[Fecha]])</f>
        <v>3468465</v>
      </c>
    </row>
    <row r="27" spans="1:7" x14ac:dyDescent="0.45">
      <c r="A27" s="163">
        <v>45989</v>
      </c>
      <c r="B27" s="1" t="s">
        <v>84</v>
      </c>
      <c r="C27" s="87">
        <v>186700</v>
      </c>
      <c r="E27" s="162">
        <v>46136</v>
      </c>
      <c r="F27" s="70" t="s">
        <v>185</v>
      </c>
      <c r="G27" s="164">
        <f>+SUMIFS(Sueldos[Valor],Sueldos[Fecha],Sueldos2[[#This Row],[Fecha]])</f>
        <v>2172000</v>
      </c>
    </row>
    <row r="28" spans="1:7" x14ac:dyDescent="0.45">
      <c r="A28" s="163">
        <v>45989</v>
      </c>
      <c r="B28" s="1" t="s">
        <v>84</v>
      </c>
      <c r="C28" s="87">
        <v>564000</v>
      </c>
    </row>
    <row r="29" spans="1:7" x14ac:dyDescent="0.45">
      <c r="A29" s="163">
        <v>45989</v>
      </c>
      <c r="B29" s="1" t="s">
        <v>84</v>
      </c>
      <c r="C29" s="87">
        <v>320000</v>
      </c>
    </row>
    <row r="30" spans="1:7" x14ac:dyDescent="0.45">
      <c r="A30" s="163">
        <v>45989</v>
      </c>
      <c r="B30" s="1" t="s">
        <v>84</v>
      </c>
      <c r="C30" s="87">
        <v>252500</v>
      </c>
    </row>
    <row r="31" spans="1:7" x14ac:dyDescent="0.45">
      <c r="A31" s="163">
        <v>45989</v>
      </c>
      <c r="B31" s="1" t="s">
        <v>84</v>
      </c>
      <c r="C31" s="87">
        <v>180000</v>
      </c>
    </row>
    <row r="32" spans="1:7" x14ac:dyDescent="0.45">
      <c r="A32" s="163">
        <v>45989</v>
      </c>
      <c r="B32" s="1" t="s">
        <v>84</v>
      </c>
      <c r="C32" s="87">
        <v>575000</v>
      </c>
    </row>
    <row r="33" spans="1:3" x14ac:dyDescent="0.45">
      <c r="A33" s="163">
        <v>45996</v>
      </c>
      <c r="B33" s="1" t="s">
        <v>84</v>
      </c>
      <c r="C33" s="87">
        <v>1500000</v>
      </c>
    </row>
    <row r="34" spans="1:3" x14ac:dyDescent="0.45">
      <c r="A34" s="163">
        <v>45996</v>
      </c>
      <c r="B34" s="1" t="s">
        <v>84</v>
      </c>
      <c r="C34" s="87">
        <v>204000</v>
      </c>
    </row>
    <row r="35" spans="1:3" x14ac:dyDescent="0.45">
      <c r="A35" s="163">
        <v>45996</v>
      </c>
      <c r="B35" s="1" t="s">
        <v>84</v>
      </c>
      <c r="C35" s="87">
        <v>287500</v>
      </c>
    </row>
    <row r="36" spans="1:3" x14ac:dyDescent="0.45">
      <c r="A36" s="163">
        <v>45996</v>
      </c>
      <c r="B36" s="1" t="s">
        <v>84</v>
      </c>
      <c r="C36" s="87">
        <v>280000</v>
      </c>
    </row>
    <row r="37" spans="1:3" x14ac:dyDescent="0.45">
      <c r="A37" s="163">
        <v>45996</v>
      </c>
      <c r="B37" s="1" t="s">
        <v>84</v>
      </c>
      <c r="C37" s="87">
        <v>180000</v>
      </c>
    </row>
    <row r="38" spans="1:3" x14ac:dyDescent="0.45">
      <c r="A38" s="163">
        <v>45996</v>
      </c>
      <c r="B38" s="1" t="s">
        <v>84</v>
      </c>
      <c r="C38" s="87">
        <v>287375</v>
      </c>
    </row>
    <row r="39" spans="1:3" x14ac:dyDescent="0.45">
      <c r="A39" s="163">
        <v>46003</v>
      </c>
      <c r="B39" s="1" t="s">
        <v>84</v>
      </c>
      <c r="C39" s="87">
        <v>280000</v>
      </c>
    </row>
    <row r="40" spans="1:3" x14ac:dyDescent="0.45">
      <c r="A40" s="163">
        <v>46003</v>
      </c>
      <c r="B40" s="1" t="s">
        <v>84</v>
      </c>
      <c r="C40" s="87">
        <v>200000</v>
      </c>
    </row>
    <row r="41" spans="1:3" x14ac:dyDescent="0.45">
      <c r="A41" s="163">
        <v>46003</v>
      </c>
      <c r="B41" s="1" t="s">
        <v>84</v>
      </c>
      <c r="C41" s="87">
        <v>662379</v>
      </c>
    </row>
    <row r="42" spans="1:3" x14ac:dyDescent="0.45">
      <c r="A42" s="163">
        <v>46003</v>
      </c>
      <c r="B42" s="1" t="s">
        <v>84</v>
      </c>
      <c r="C42" s="87">
        <v>386594</v>
      </c>
    </row>
    <row r="43" spans="1:3" x14ac:dyDescent="0.45">
      <c r="A43" s="163">
        <v>46003</v>
      </c>
      <c r="B43" s="1" t="s">
        <v>84</v>
      </c>
      <c r="C43" s="87">
        <v>792500</v>
      </c>
    </row>
    <row r="44" spans="1:3" x14ac:dyDescent="0.45">
      <c r="A44" s="163">
        <v>46003</v>
      </c>
      <c r="B44" s="1" t="s">
        <v>84</v>
      </c>
      <c r="C44" s="87">
        <v>180000</v>
      </c>
    </row>
    <row r="45" spans="1:3" x14ac:dyDescent="0.45">
      <c r="A45" s="163">
        <v>46003</v>
      </c>
      <c r="B45" s="1" t="s">
        <v>84</v>
      </c>
      <c r="C45" s="87">
        <v>575000</v>
      </c>
    </row>
    <row r="46" spans="1:3" x14ac:dyDescent="0.45">
      <c r="A46" s="163">
        <v>46010</v>
      </c>
      <c r="B46" s="1" t="s">
        <v>84</v>
      </c>
      <c r="C46" s="87">
        <v>174000</v>
      </c>
    </row>
    <row r="47" spans="1:3" x14ac:dyDescent="0.45">
      <c r="A47" s="163">
        <v>46010</v>
      </c>
      <c r="B47" s="1" t="s">
        <v>84</v>
      </c>
      <c r="C47" s="87">
        <v>750000</v>
      </c>
    </row>
    <row r="48" spans="1:3" x14ac:dyDescent="0.45">
      <c r="A48" s="163">
        <v>46010</v>
      </c>
      <c r="B48" s="1" t="s">
        <v>84</v>
      </c>
      <c r="C48" s="87">
        <v>232330</v>
      </c>
    </row>
    <row r="49" spans="1:3" x14ac:dyDescent="0.45">
      <c r="A49" s="163">
        <v>46010</v>
      </c>
      <c r="B49" s="1" t="s">
        <v>84</v>
      </c>
      <c r="C49" s="87">
        <v>649999.99</v>
      </c>
    </row>
    <row r="50" spans="1:3" x14ac:dyDescent="0.45">
      <c r="A50" s="163">
        <v>46010</v>
      </c>
      <c r="B50" s="1" t="s">
        <v>84</v>
      </c>
      <c r="C50" s="87">
        <v>180000</v>
      </c>
    </row>
    <row r="51" spans="1:3" x14ac:dyDescent="0.45">
      <c r="A51" s="163">
        <v>46010</v>
      </c>
      <c r="B51" s="1" t="s">
        <v>84</v>
      </c>
      <c r="C51" s="87">
        <v>895469</v>
      </c>
    </row>
    <row r="52" spans="1:3" x14ac:dyDescent="0.45">
      <c r="A52" s="163">
        <v>46017</v>
      </c>
      <c r="B52" s="1" t="s">
        <v>84</v>
      </c>
      <c r="C52" s="87">
        <v>315000</v>
      </c>
    </row>
    <row r="53" spans="1:3" x14ac:dyDescent="0.45">
      <c r="A53" s="163">
        <v>46017</v>
      </c>
      <c r="B53" s="1" t="s">
        <v>84</v>
      </c>
      <c r="C53" s="87">
        <v>840000</v>
      </c>
    </row>
    <row r="54" spans="1:3" x14ac:dyDescent="0.45">
      <c r="A54" s="163">
        <v>46017</v>
      </c>
      <c r="B54" s="1" t="s">
        <v>84</v>
      </c>
      <c r="C54" s="87">
        <v>130000</v>
      </c>
    </row>
    <row r="55" spans="1:3" x14ac:dyDescent="0.45">
      <c r="A55" s="163">
        <v>46017</v>
      </c>
      <c r="B55" s="1" t="s">
        <v>84</v>
      </c>
      <c r="C55" s="87">
        <v>664500</v>
      </c>
    </row>
    <row r="56" spans="1:3" x14ac:dyDescent="0.45">
      <c r="A56" s="163">
        <v>46017</v>
      </c>
      <c r="B56" s="1" t="s">
        <v>84</v>
      </c>
      <c r="C56" s="87">
        <v>288750</v>
      </c>
    </row>
    <row r="57" spans="1:3" x14ac:dyDescent="0.45">
      <c r="A57" s="163">
        <v>46017</v>
      </c>
      <c r="B57" s="1" t="s">
        <v>84</v>
      </c>
      <c r="C57" s="87">
        <v>90000</v>
      </c>
    </row>
    <row r="58" spans="1:3" x14ac:dyDescent="0.45">
      <c r="A58" s="163">
        <v>46017</v>
      </c>
      <c r="B58" s="1" t="s">
        <v>84</v>
      </c>
      <c r="C58" s="87">
        <v>150000</v>
      </c>
    </row>
    <row r="59" spans="1:3" x14ac:dyDescent="0.45">
      <c r="A59" s="163">
        <v>46024</v>
      </c>
      <c r="B59" s="1" t="s">
        <v>84</v>
      </c>
      <c r="C59" s="87">
        <v>300000</v>
      </c>
    </row>
    <row r="60" spans="1:3" x14ac:dyDescent="0.45">
      <c r="A60" s="163">
        <v>46024</v>
      </c>
      <c r="B60" s="1" t="s">
        <v>84</v>
      </c>
      <c r="C60" s="87">
        <v>125000</v>
      </c>
    </row>
    <row r="61" spans="1:3" x14ac:dyDescent="0.45">
      <c r="A61" s="163">
        <v>46024</v>
      </c>
      <c r="B61" s="1" t="s">
        <v>84</v>
      </c>
      <c r="C61" s="87">
        <v>280000</v>
      </c>
    </row>
    <row r="62" spans="1:3" x14ac:dyDescent="0.45">
      <c r="A62" s="163">
        <v>46024</v>
      </c>
      <c r="B62" s="1" t="s">
        <v>84</v>
      </c>
      <c r="C62" s="87">
        <v>285828</v>
      </c>
    </row>
    <row r="63" spans="1:3" x14ac:dyDescent="0.45">
      <c r="A63" s="163">
        <v>46031</v>
      </c>
      <c r="B63" s="1" t="s">
        <v>84</v>
      </c>
      <c r="C63" s="87">
        <v>300000</v>
      </c>
    </row>
    <row r="64" spans="1:3" x14ac:dyDescent="0.45">
      <c r="A64" s="163">
        <v>46031</v>
      </c>
      <c r="B64" s="1" t="s">
        <v>84</v>
      </c>
      <c r="C64" s="87">
        <v>280000</v>
      </c>
    </row>
    <row r="65" spans="1:3" x14ac:dyDescent="0.45">
      <c r="A65" s="163">
        <v>46031</v>
      </c>
      <c r="B65" s="1" t="s">
        <v>84</v>
      </c>
      <c r="C65" s="87">
        <v>163000</v>
      </c>
    </row>
    <row r="66" spans="1:3" x14ac:dyDescent="0.45">
      <c r="A66" s="163">
        <v>46031</v>
      </c>
      <c r="B66" s="1" t="s">
        <v>84</v>
      </c>
      <c r="C66" s="87">
        <v>728390.625</v>
      </c>
    </row>
    <row r="67" spans="1:3" x14ac:dyDescent="0.45">
      <c r="A67" s="163">
        <v>46031</v>
      </c>
      <c r="B67" s="1" t="s">
        <v>84</v>
      </c>
      <c r="C67" s="87">
        <v>274856</v>
      </c>
    </row>
    <row r="68" spans="1:3" x14ac:dyDescent="0.45">
      <c r="A68" s="163">
        <v>46031</v>
      </c>
      <c r="B68" s="1" t="s">
        <v>84</v>
      </c>
      <c r="C68" s="87">
        <v>250000</v>
      </c>
    </row>
    <row r="69" spans="1:3" x14ac:dyDescent="0.45">
      <c r="A69" s="163">
        <v>46031</v>
      </c>
      <c r="B69" s="1" t="s">
        <v>84</v>
      </c>
      <c r="C69" s="87">
        <v>180000</v>
      </c>
    </row>
    <row r="70" spans="1:3" x14ac:dyDescent="0.45">
      <c r="A70" s="163">
        <v>46031</v>
      </c>
      <c r="B70" s="1" t="s">
        <v>84</v>
      </c>
      <c r="C70" s="87">
        <v>160000</v>
      </c>
    </row>
    <row r="71" spans="1:3" x14ac:dyDescent="0.45">
      <c r="A71" s="163">
        <v>46031</v>
      </c>
      <c r="B71" s="1" t="s">
        <v>84</v>
      </c>
      <c r="C71" s="87">
        <v>725000</v>
      </c>
    </row>
    <row r="72" spans="1:3" x14ac:dyDescent="0.45">
      <c r="A72" s="163">
        <v>46038</v>
      </c>
      <c r="B72" s="1" t="s">
        <v>84</v>
      </c>
      <c r="C72" s="87">
        <v>300000</v>
      </c>
    </row>
    <row r="73" spans="1:3" x14ac:dyDescent="0.45">
      <c r="A73" s="163">
        <v>46038</v>
      </c>
      <c r="B73" s="1" t="s">
        <v>84</v>
      </c>
      <c r="C73" s="87">
        <v>178000</v>
      </c>
    </row>
    <row r="74" spans="1:3" x14ac:dyDescent="0.45">
      <c r="A74" s="163">
        <v>46038</v>
      </c>
      <c r="B74" s="1" t="s">
        <v>84</v>
      </c>
      <c r="C74" s="87">
        <v>250000</v>
      </c>
    </row>
    <row r="75" spans="1:3" x14ac:dyDescent="0.45">
      <c r="A75" s="163">
        <v>46038</v>
      </c>
      <c r="B75" s="1" t="s">
        <v>84</v>
      </c>
      <c r="C75" s="87">
        <v>280048</v>
      </c>
    </row>
    <row r="76" spans="1:3" x14ac:dyDescent="0.45">
      <c r="A76" s="163">
        <v>46038</v>
      </c>
      <c r="B76" s="1" t="s">
        <v>84</v>
      </c>
      <c r="C76" s="87">
        <v>180000</v>
      </c>
    </row>
    <row r="77" spans="1:3" x14ac:dyDescent="0.45">
      <c r="A77" s="163">
        <v>46038</v>
      </c>
      <c r="B77" s="1" t="s">
        <v>84</v>
      </c>
      <c r="C77" s="87">
        <v>220000</v>
      </c>
    </row>
    <row r="78" spans="1:3" x14ac:dyDescent="0.45">
      <c r="A78" s="163">
        <v>46038</v>
      </c>
      <c r="B78" s="1" t="s">
        <v>84</v>
      </c>
      <c r="C78" s="87">
        <v>308000</v>
      </c>
    </row>
    <row r="79" spans="1:3" x14ac:dyDescent="0.45">
      <c r="A79" s="163">
        <v>46045</v>
      </c>
      <c r="B79" s="1" t="s">
        <v>84</v>
      </c>
      <c r="C79" s="87">
        <v>300000.21999999997</v>
      </c>
    </row>
    <row r="80" spans="1:3" x14ac:dyDescent="0.45">
      <c r="A80" s="163">
        <v>46045</v>
      </c>
      <c r="B80" s="1" t="s">
        <v>84</v>
      </c>
      <c r="C80" s="87">
        <v>280000</v>
      </c>
    </row>
    <row r="81" spans="1:3" x14ac:dyDescent="0.45">
      <c r="A81" s="163">
        <v>46045</v>
      </c>
      <c r="B81" s="1" t="s">
        <v>84</v>
      </c>
      <c r="C81" s="87">
        <v>202000</v>
      </c>
    </row>
    <row r="82" spans="1:3" x14ac:dyDescent="0.45">
      <c r="A82" s="163">
        <v>46045</v>
      </c>
      <c r="B82" s="1" t="s">
        <v>84</v>
      </c>
      <c r="C82" s="87">
        <v>649990</v>
      </c>
    </row>
    <row r="83" spans="1:3" x14ac:dyDescent="0.45">
      <c r="A83" s="163">
        <v>46045</v>
      </c>
      <c r="B83" s="1" t="s">
        <v>84</v>
      </c>
      <c r="C83" s="87">
        <v>330000</v>
      </c>
    </row>
    <row r="84" spans="1:3" x14ac:dyDescent="0.45">
      <c r="A84" s="163">
        <v>46045</v>
      </c>
      <c r="B84" s="1" t="s">
        <v>84</v>
      </c>
      <c r="C84" s="87">
        <v>250000</v>
      </c>
    </row>
    <row r="85" spans="1:3" x14ac:dyDescent="0.45">
      <c r="A85" s="163">
        <v>46045</v>
      </c>
      <c r="B85" s="1" t="s">
        <v>84</v>
      </c>
      <c r="C85" s="87">
        <v>270000</v>
      </c>
    </row>
    <row r="86" spans="1:3" x14ac:dyDescent="0.45">
      <c r="A86" s="163">
        <v>46045</v>
      </c>
      <c r="B86" s="1" t="s">
        <v>84</v>
      </c>
      <c r="C86" s="87">
        <v>200000</v>
      </c>
    </row>
    <row r="87" spans="1:3" x14ac:dyDescent="0.45">
      <c r="A87" s="163">
        <v>46045</v>
      </c>
      <c r="B87" s="1" t="s">
        <v>84</v>
      </c>
      <c r="C87" s="87">
        <v>425000</v>
      </c>
    </row>
    <row r="88" spans="1:3" x14ac:dyDescent="0.45">
      <c r="A88" s="163">
        <v>46052</v>
      </c>
      <c r="B88" s="1" t="s">
        <v>84</v>
      </c>
      <c r="C88" s="87">
        <v>429938</v>
      </c>
    </row>
    <row r="89" spans="1:3" x14ac:dyDescent="0.45">
      <c r="A89" s="163">
        <v>46052</v>
      </c>
      <c r="B89" s="1" t="s">
        <v>84</v>
      </c>
      <c r="C89" s="87">
        <v>189000</v>
      </c>
    </row>
    <row r="90" spans="1:3" x14ac:dyDescent="0.45">
      <c r="A90" s="163">
        <v>46052</v>
      </c>
      <c r="B90" s="1" t="s">
        <v>84</v>
      </c>
      <c r="C90" s="87">
        <v>350000</v>
      </c>
    </row>
    <row r="91" spans="1:3" x14ac:dyDescent="0.45">
      <c r="A91" s="163">
        <v>46052</v>
      </c>
      <c r="B91" s="1" t="s">
        <v>84</v>
      </c>
      <c r="C91" s="87">
        <v>840000</v>
      </c>
    </row>
    <row r="92" spans="1:3" x14ac:dyDescent="0.45">
      <c r="A92" s="163">
        <v>46052</v>
      </c>
      <c r="B92" s="1" t="s">
        <v>84</v>
      </c>
      <c r="C92" s="87">
        <v>290000</v>
      </c>
    </row>
    <row r="93" spans="1:3" x14ac:dyDescent="0.45">
      <c r="A93" s="163">
        <v>46052</v>
      </c>
      <c r="B93" s="1" t="s">
        <v>84</v>
      </c>
      <c r="C93" s="87">
        <v>200000</v>
      </c>
    </row>
    <row r="94" spans="1:3" x14ac:dyDescent="0.45">
      <c r="A94" s="163">
        <v>46052</v>
      </c>
      <c r="B94" s="1" t="s">
        <v>84</v>
      </c>
      <c r="C94" s="87">
        <v>499744</v>
      </c>
    </row>
    <row r="95" spans="1:3" x14ac:dyDescent="0.45">
      <c r="A95" s="163">
        <v>46059</v>
      </c>
      <c r="B95" s="1" t="s">
        <v>84</v>
      </c>
      <c r="C95" s="87">
        <v>300000</v>
      </c>
    </row>
    <row r="96" spans="1:3" x14ac:dyDescent="0.45">
      <c r="A96" s="163">
        <v>46059</v>
      </c>
      <c r="B96" s="1" t="s">
        <v>84</v>
      </c>
      <c r="C96" s="87">
        <v>189000</v>
      </c>
    </row>
    <row r="97" spans="1:3" x14ac:dyDescent="0.45">
      <c r="A97" s="163">
        <v>46059</v>
      </c>
      <c r="B97" s="1" t="s">
        <v>84</v>
      </c>
      <c r="C97" s="87">
        <v>746483</v>
      </c>
    </row>
    <row r="98" spans="1:3" x14ac:dyDescent="0.45">
      <c r="A98" s="163">
        <v>46059</v>
      </c>
      <c r="B98" s="1" t="s">
        <v>84</v>
      </c>
      <c r="C98" s="87">
        <v>330000</v>
      </c>
    </row>
    <row r="99" spans="1:3" x14ac:dyDescent="0.45">
      <c r="A99" s="163">
        <v>46059</v>
      </c>
      <c r="B99" s="1" t="s">
        <v>84</v>
      </c>
      <c r="C99" s="87">
        <v>340000</v>
      </c>
    </row>
    <row r="100" spans="1:3" x14ac:dyDescent="0.45">
      <c r="A100" s="163">
        <v>46059</v>
      </c>
      <c r="B100" s="1" t="s">
        <v>84</v>
      </c>
      <c r="C100" s="87">
        <v>180000</v>
      </c>
    </row>
    <row r="101" spans="1:3" x14ac:dyDescent="0.45">
      <c r="A101" s="163">
        <v>46059</v>
      </c>
      <c r="B101" s="1" t="s">
        <v>84</v>
      </c>
      <c r="C101" s="87">
        <v>160000</v>
      </c>
    </row>
    <row r="102" spans="1:3" x14ac:dyDescent="0.45">
      <c r="A102" s="163">
        <v>46059</v>
      </c>
      <c r="B102" s="1" t="s">
        <v>84</v>
      </c>
      <c r="C102" s="87">
        <v>750000</v>
      </c>
    </row>
    <row r="103" spans="1:3" x14ac:dyDescent="0.45">
      <c r="A103" s="163">
        <v>46066</v>
      </c>
      <c r="B103" s="1" t="s">
        <v>84</v>
      </c>
      <c r="C103" s="87">
        <v>300000</v>
      </c>
    </row>
    <row r="104" spans="1:3" x14ac:dyDescent="0.45">
      <c r="A104" s="163">
        <v>46066</v>
      </c>
      <c r="B104" s="1" t="s">
        <v>84</v>
      </c>
      <c r="C104" s="87">
        <v>262000</v>
      </c>
    </row>
    <row r="105" spans="1:3" x14ac:dyDescent="0.45">
      <c r="A105" s="163">
        <v>46066</v>
      </c>
      <c r="B105" s="1" t="s">
        <v>84</v>
      </c>
      <c r="C105" s="87">
        <v>290000</v>
      </c>
    </row>
    <row r="106" spans="1:3" x14ac:dyDescent="0.45">
      <c r="A106" s="163">
        <v>46066</v>
      </c>
      <c r="B106" s="1" t="s">
        <v>84</v>
      </c>
      <c r="C106" s="87">
        <v>80000</v>
      </c>
    </row>
    <row r="107" spans="1:3" x14ac:dyDescent="0.45">
      <c r="A107" s="163">
        <v>46066</v>
      </c>
      <c r="B107" s="1" t="s">
        <v>84</v>
      </c>
      <c r="C107" s="87">
        <v>200000</v>
      </c>
    </row>
    <row r="108" spans="1:3" x14ac:dyDescent="0.45">
      <c r="A108" s="163">
        <v>46066</v>
      </c>
      <c r="B108" s="1" t="s">
        <v>84</v>
      </c>
      <c r="C108" s="87">
        <v>975000</v>
      </c>
    </row>
    <row r="109" spans="1:3" x14ac:dyDescent="0.45">
      <c r="A109" s="163">
        <v>46066</v>
      </c>
      <c r="B109" s="1" t="s">
        <v>84</v>
      </c>
      <c r="C109" s="87">
        <v>330000</v>
      </c>
    </row>
    <row r="110" spans="1:3" x14ac:dyDescent="0.45">
      <c r="A110" s="163">
        <v>46073</v>
      </c>
      <c r="B110" s="1" t="s">
        <v>84</v>
      </c>
      <c r="C110" s="87">
        <v>345000</v>
      </c>
    </row>
    <row r="111" spans="1:3" x14ac:dyDescent="0.45">
      <c r="A111" s="163">
        <v>46073</v>
      </c>
      <c r="B111" s="1" t="s">
        <v>84</v>
      </c>
      <c r="C111" s="87">
        <v>280000</v>
      </c>
    </row>
    <row r="112" spans="1:3" x14ac:dyDescent="0.45">
      <c r="A112" s="163">
        <v>46073</v>
      </c>
      <c r="B112" s="1" t="s">
        <v>84</v>
      </c>
      <c r="C112" s="87">
        <v>123000</v>
      </c>
    </row>
    <row r="113" spans="1:3" x14ac:dyDescent="0.45">
      <c r="A113" s="163">
        <v>46073</v>
      </c>
      <c r="B113" s="1" t="s">
        <v>84</v>
      </c>
      <c r="C113" s="87">
        <v>330000</v>
      </c>
    </row>
    <row r="114" spans="1:3" x14ac:dyDescent="0.45">
      <c r="A114" s="163">
        <v>46073</v>
      </c>
      <c r="B114" s="1" t="s">
        <v>84</v>
      </c>
      <c r="C114" s="87">
        <v>295000</v>
      </c>
    </row>
    <row r="115" spans="1:3" x14ac:dyDescent="0.45">
      <c r="A115" s="163">
        <v>46073</v>
      </c>
      <c r="B115" s="1" t="s">
        <v>84</v>
      </c>
      <c r="C115" s="87">
        <v>200000</v>
      </c>
    </row>
    <row r="116" spans="1:3" x14ac:dyDescent="0.45">
      <c r="A116" s="163">
        <v>46073</v>
      </c>
      <c r="B116" s="1" t="s">
        <v>84</v>
      </c>
      <c r="C116" s="87">
        <v>750000</v>
      </c>
    </row>
    <row r="117" spans="1:3" x14ac:dyDescent="0.45">
      <c r="A117" s="163">
        <v>46080</v>
      </c>
      <c r="B117" s="1" t="s">
        <v>84</v>
      </c>
      <c r="C117" s="87">
        <v>344999.91</v>
      </c>
    </row>
    <row r="118" spans="1:3" x14ac:dyDescent="0.45">
      <c r="A118" s="163">
        <v>46080</v>
      </c>
      <c r="B118" s="1" t="s">
        <v>84</v>
      </c>
      <c r="C118" s="87">
        <v>196000</v>
      </c>
    </row>
    <row r="119" spans="1:3" x14ac:dyDescent="0.45">
      <c r="A119" s="163">
        <v>46080</v>
      </c>
      <c r="B119" s="1" t="s">
        <v>84</v>
      </c>
      <c r="C119" s="87">
        <v>291927</v>
      </c>
    </row>
    <row r="120" spans="1:3" x14ac:dyDescent="0.45">
      <c r="A120" s="163">
        <v>46080</v>
      </c>
      <c r="B120" s="1" t="s">
        <v>84</v>
      </c>
      <c r="C120" s="87">
        <v>280000</v>
      </c>
    </row>
    <row r="121" spans="1:3" x14ac:dyDescent="0.45">
      <c r="A121" s="163">
        <v>46080</v>
      </c>
      <c r="B121" s="1" t="s">
        <v>84</v>
      </c>
      <c r="C121" s="87">
        <v>180000</v>
      </c>
    </row>
    <row r="122" spans="1:3" x14ac:dyDescent="0.45">
      <c r="A122" s="163">
        <v>46080</v>
      </c>
      <c r="B122" s="1" t="s">
        <v>84</v>
      </c>
      <c r="C122" s="87">
        <v>200000</v>
      </c>
    </row>
    <row r="123" spans="1:3" x14ac:dyDescent="0.45">
      <c r="A123" s="163">
        <v>46080</v>
      </c>
      <c r="B123" s="1" t="s">
        <v>84</v>
      </c>
      <c r="C123" s="87">
        <v>369188</v>
      </c>
    </row>
    <row r="124" spans="1:3" x14ac:dyDescent="0.45">
      <c r="A124" s="163">
        <v>46087</v>
      </c>
      <c r="B124" s="1" t="s">
        <v>84</v>
      </c>
      <c r="C124" s="87">
        <v>359016</v>
      </c>
    </row>
    <row r="125" spans="1:3" x14ac:dyDescent="0.45">
      <c r="A125" s="163">
        <v>46087</v>
      </c>
      <c r="B125" s="1" t="s">
        <v>84</v>
      </c>
      <c r="C125" s="87">
        <v>280000</v>
      </c>
    </row>
    <row r="126" spans="1:3" x14ac:dyDescent="0.45">
      <c r="A126" s="163">
        <v>46087</v>
      </c>
      <c r="B126" s="1" t="s">
        <v>84</v>
      </c>
      <c r="C126" s="87">
        <v>219000</v>
      </c>
    </row>
    <row r="127" spans="1:3" x14ac:dyDescent="0.45">
      <c r="A127" s="163">
        <v>46087</v>
      </c>
      <c r="B127" s="1" t="s">
        <v>84</v>
      </c>
      <c r="C127" s="87">
        <v>402209</v>
      </c>
    </row>
    <row r="128" spans="1:3" x14ac:dyDescent="0.45">
      <c r="A128" s="163">
        <v>46087</v>
      </c>
      <c r="B128" s="1" t="s">
        <v>84</v>
      </c>
      <c r="C128" s="87">
        <v>343406</v>
      </c>
    </row>
    <row r="129" spans="1:3" x14ac:dyDescent="0.45">
      <c r="A129" s="163">
        <v>46087</v>
      </c>
      <c r="B129" s="1" t="s">
        <v>84</v>
      </c>
      <c r="C129" s="87">
        <v>311225</v>
      </c>
    </row>
    <row r="130" spans="1:3" x14ac:dyDescent="0.45">
      <c r="A130" s="163">
        <v>46087</v>
      </c>
      <c r="B130" s="1" t="s">
        <v>84</v>
      </c>
      <c r="C130" s="87">
        <v>180000</v>
      </c>
    </row>
    <row r="131" spans="1:3" x14ac:dyDescent="0.45">
      <c r="A131" s="163">
        <v>46087</v>
      </c>
      <c r="B131" s="1" t="s">
        <v>84</v>
      </c>
      <c r="C131" s="87">
        <v>200000</v>
      </c>
    </row>
    <row r="132" spans="1:3" x14ac:dyDescent="0.45">
      <c r="A132" s="163">
        <v>46087</v>
      </c>
      <c r="B132" s="1" t="s">
        <v>84</v>
      </c>
      <c r="C132" s="87">
        <v>750000</v>
      </c>
    </row>
    <row r="133" spans="1:3" x14ac:dyDescent="0.45">
      <c r="A133" s="163">
        <v>46094</v>
      </c>
      <c r="B133" s="1" t="s">
        <v>84</v>
      </c>
      <c r="C133" s="87">
        <v>383829.61</v>
      </c>
    </row>
    <row r="134" spans="1:3" x14ac:dyDescent="0.45">
      <c r="A134" s="163">
        <v>46094</v>
      </c>
      <c r="B134" s="1" t="s">
        <v>84</v>
      </c>
      <c r="C134" s="87">
        <v>235000</v>
      </c>
    </row>
    <row r="135" spans="1:3" x14ac:dyDescent="0.45">
      <c r="A135" s="163">
        <v>46094</v>
      </c>
      <c r="B135" s="1" t="s">
        <v>84</v>
      </c>
      <c r="C135" s="87">
        <v>297500</v>
      </c>
    </row>
    <row r="136" spans="1:3" x14ac:dyDescent="0.45">
      <c r="A136" s="163">
        <v>46094</v>
      </c>
      <c r="B136" s="1" t="s">
        <v>84</v>
      </c>
      <c r="C136" s="87">
        <v>250000</v>
      </c>
    </row>
    <row r="137" spans="1:3" x14ac:dyDescent="0.45">
      <c r="A137" s="163">
        <v>46094</v>
      </c>
      <c r="B137" s="1" t="s">
        <v>84</v>
      </c>
      <c r="C137" s="87">
        <v>270000</v>
      </c>
    </row>
    <row r="138" spans="1:3" x14ac:dyDescent="0.45">
      <c r="A138" s="163">
        <v>46094</v>
      </c>
      <c r="B138" s="1" t="s">
        <v>84</v>
      </c>
      <c r="C138" s="87">
        <v>200000</v>
      </c>
    </row>
    <row r="139" spans="1:3" x14ac:dyDescent="0.45">
      <c r="A139" s="163">
        <v>46094</v>
      </c>
      <c r="B139" s="1" t="s">
        <v>84</v>
      </c>
      <c r="C139" s="87">
        <v>200000</v>
      </c>
    </row>
    <row r="140" spans="1:3" x14ac:dyDescent="0.45">
      <c r="A140" s="163">
        <v>46094</v>
      </c>
      <c r="B140" s="1" t="s">
        <v>84</v>
      </c>
      <c r="C140" s="87">
        <v>427063</v>
      </c>
    </row>
    <row r="141" spans="1:3" x14ac:dyDescent="0.45">
      <c r="A141" s="163">
        <v>46101</v>
      </c>
      <c r="B141" s="1" t="s">
        <v>84</v>
      </c>
      <c r="C141" s="87">
        <v>397181</v>
      </c>
    </row>
    <row r="142" spans="1:3" x14ac:dyDescent="0.45">
      <c r="A142" s="163">
        <v>46101</v>
      </c>
      <c r="B142" s="1" t="s">
        <v>84</v>
      </c>
      <c r="C142" s="87">
        <v>280000</v>
      </c>
    </row>
    <row r="143" spans="1:3" x14ac:dyDescent="0.45">
      <c r="A143" s="163">
        <v>46101</v>
      </c>
      <c r="B143" s="1" t="s">
        <v>84</v>
      </c>
      <c r="C143" s="87">
        <v>241000</v>
      </c>
    </row>
    <row r="144" spans="1:3" x14ac:dyDescent="0.45">
      <c r="A144" s="163">
        <v>46101</v>
      </c>
      <c r="B144" s="1" t="s">
        <v>84</v>
      </c>
      <c r="C144" s="87">
        <v>761632</v>
      </c>
    </row>
    <row r="145" spans="1:3" x14ac:dyDescent="0.45">
      <c r="A145" s="163">
        <v>46101</v>
      </c>
      <c r="B145" s="1" t="s">
        <v>84</v>
      </c>
      <c r="C145" s="87">
        <v>442500</v>
      </c>
    </row>
    <row r="146" spans="1:3" x14ac:dyDescent="0.45">
      <c r="A146" s="163">
        <v>46101</v>
      </c>
      <c r="B146" s="1" t="s">
        <v>84</v>
      </c>
      <c r="C146" s="87">
        <v>300000</v>
      </c>
    </row>
    <row r="147" spans="1:3" x14ac:dyDescent="0.45">
      <c r="A147" s="163">
        <v>46101</v>
      </c>
      <c r="B147" s="1" t="s">
        <v>84</v>
      </c>
      <c r="C147" s="87">
        <v>270000</v>
      </c>
    </row>
    <row r="148" spans="1:3" x14ac:dyDescent="0.45">
      <c r="A148" s="163">
        <v>46101</v>
      </c>
      <c r="B148" s="1" t="s">
        <v>84</v>
      </c>
      <c r="C148" s="87">
        <v>160000</v>
      </c>
    </row>
    <row r="149" spans="1:3" x14ac:dyDescent="0.45">
      <c r="A149" s="163">
        <v>46101</v>
      </c>
      <c r="B149" s="1" t="s">
        <v>84</v>
      </c>
      <c r="C149" s="87">
        <v>550000</v>
      </c>
    </row>
    <row r="150" spans="1:3" x14ac:dyDescent="0.45">
      <c r="A150" s="163">
        <v>46108</v>
      </c>
      <c r="B150" s="1" t="s">
        <v>84</v>
      </c>
      <c r="C150" s="87">
        <v>370875</v>
      </c>
    </row>
    <row r="151" spans="1:3" x14ac:dyDescent="0.45">
      <c r="A151" s="163">
        <v>46108</v>
      </c>
      <c r="B151" s="1" t="s">
        <v>84</v>
      </c>
      <c r="C151" s="87">
        <v>200000</v>
      </c>
    </row>
    <row r="152" spans="1:3" x14ac:dyDescent="0.45">
      <c r="A152" s="163">
        <v>46108</v>
      </c>
      <c r="B152" s="1" t="s">
        <v>84</v>
      </c>
      <c r="C152" s="87">
        <v>296190</v>
      </c>
    </row>
    <row r="153" spans="1:3" x14ac:dyDescent="0.45">
      <c r="A153" s="163">
        <v>46108</v>
      </c>
      <c r="B153" s="1" t="s">
        <v>84</v>
      </c>
      <c r="C153" s="87">
        <v>280000</v>
      </c>
    </row>
    <row r="154" spans="1:3" x14ac:dyDescent="0.45">
      <c r="A154" s="163">
        <v>46108</v>
      </c>
      <c r="B154" s="1" t="s">
        <v>84</v>
      </c>
      <c r="C154" s="87">
        <v>270000</v>
      </c>
    </row>
    <row r="155" spans="1:3" x14ac:dyDescent="0.45">
      <c r="A155" s="163">
        <v>46108</v>
      </c>
      <c r="B155" s="1" t="s">
        <v>84</v>
      </c>
      <c r="C155" s="87">
        <v>160000</v>
      </c>
    </row>
    <row r="156" spans="1:3" x14ac:dyDescent="0.45">
      <c r="A156" s="163">
        <v>46108</v>
      </c>
      <c r="B156" s="1" t="s">
        <v>84</v>
      </c>
      <c r="C156" s="87">
        <v>354750</v>
      </c>
    </row>
    <row r="157" spans="1:3" x14ac:dyDescent="0.45">
      <c r="A157" s="163">
        <v>46113</v>
      </c>
      <c r="B157" s="1" t="s">
        <v>84</v>
      </c>
      <c r="C157" s="87">
        <v>384350</v>
      </c>
    </row>
    <row r="158" spans="1:3" x14ac:dyDescent="0.45">
      <c r="A158" s="163">
        <v>46113</v>
      </c>
      <c r="B158" s="1" t="s">
        <v>84</v>
      </c>
      <c r="C158" s="87">
        <v>280000</v>
      </c>
    </row>
    <row r="159" spans="1:3" x14ac:dyDescent="0.45">
      <c r="A159" s="163">
        <v>46113</v>
      </c>
      <c r="B159" s="1" t="s">
        <v>84</v>
      </c>
      <c r="C159" s="87">
        <v>207500</v>
      </c>
    </row>
    <row r="160" spans="1:3" x14ac:dyDescent="0.45">
      <c r="A160" s="163">
        <v>46113</v>
      </c>
      <c r="B160" s="1" t="s">
        <v>84</v>
      </c>
      <c r="C160" s="87">
        <v>780000</v>
      </c>
    </row>
    <row r="161" spans="1:3" x14ac:dyDescent="0.45">
      <c r="A161" s="163">
        <v>46113</v>
      </c>
      <c r="B161" s="1" t="s">
        <v>84</v>
      </c>
      <c r="C161" s="87">
        <v>355000</v>
      </c>
    </row>
    <row r="162" spans="1:3" x14ac:dyDescent="0.45">
      <c r="A162" s="163">
        <v>46113</v>
      </c>
      <c r="B162" s="1" t="s">
        <v>84</v>
      </c>
      <c r="C162" s="87">
        <v>295000</v>
      </c>
    </row>
    <row r="163" spans="1:3" x14ac:dyDescent="0.45">
      <c r="A163" s="163">
        <v>46113</v>
      </c>
      <c r="B163" s="1" t="s">
        <v>84</v>
      </c>
      <c r="C163" s="87">
        <v>90000</v>
      </c>
    </row>
    <row r="164" spans="1:3" x14ac:dyDescent="0.45">
      <c r="A164" s="163">
        <v>46113</v>
      </c>
      <c r="B164" s="1" t="s">
        <v>84</v>
      </c>
      <c r="C164" s="87">
        <v>120000</v>
      </c>
    </row>
    <row r="165" spans="1:3" x14ac:dyDescent="0.45">
      <c r="A165" s="163">
        <v>46113</v>
      </c>
      <c r="B165" s="1" t="s">
        <v>84</v>
      </c>
      <c r="C165" s="87">
        <v>750000</v>
      </c>
    </row>
    <row r="166" spans="1:3" x14ac:dyDescent="0.45">
      <c r="A166" s="163">
        <v>46122</v>
      </c>
      <c r="B166" s="1" t="s">
        <v>84</v>
      </c>
      <c r="C166" s="87">
        <v>345000</v>
      </c>
    </row>
    <row r="167" spans="1:3" x14ac:dyDescent="0.45">
      <c r="A167" s="163">
        <v>46122</v>
      </c>
      <c r="B167" s="1" t="s">
        <v>84</v>
      </c>
      <c r="C167" s="87">
        <v>200000</v>
      </c>
    </row>
    <row r="168" spans="1:3" x14ac:dyDescent="0.45">
      <c r="A168" s="163">
        <v>46122</v>
      </c>
      <c r="B168" s="1" t="s">
        <v>84</v>
      </c>
      <c r="C168" s="87">
        <v>295000</v>
      </c>
    </row>
    <row r="169" spans="1:3" x14ac:dyDescent="0.45">
      <c r="A169" s="163">
        <v>46122</v>
      </c>
      <c r="B169" s="1" t="s">
        <v>84</v>
      </c>
      <c r="C169" s="87">
        <v>280000</v>
      </c>
    </row>
    <row r="170" spans="1:3" x14ac:dyDescent="0.45">
      <c r="A170" s="163">
        <v>46122</v>
      </c>
      <c r="B170" s="1" t="s">
        <v>84</v>
      </c>
      <c r="C170" s="87">
        <v>90000</v>
      </c>
    </row>
    <row r="171" spans="1:3" x14ac:dyDescent="0.45">
      <c r="A171" s="163">
        <v>46122</v>
      </c>
      <c r="B171" s="1" t="s">
        <v>84</v>
      </c>
      <c r="C171" s="87">
        <v>200000</v>
      </c>
    </row>
    <row r="172" spans="1:3" x14ac:dyDescent="0.45">
      <c r="A172" s="163">
        <v>46122</v>
      </c>
      <c r="B172" s="1" t="s">
        <v>84</v>
      </c>
      <c r="C172" s="87">
        <v>330000</v>
      </c>
    </row>
    <row r="173" spans="1:3" x14ac:dyDescent="0.45">
      <c r="A173" s="163">
        <v>46129</v>
      </c>
      <c r="B173" s="1" t="s">
        <v>84</v>
      </c>
      <c r="C173" s="87">
        <v>399334</v>
      </c>
    </row>
    <row r="174" spans="1:3" x14ac:dyDescent="0.45">
      <c r="A174" s="163">
        <v>46129</v>
      </c>
      <c r="B174" s="1" t="s">
        <v>84</v>
      </c>
      <c r="C174" s="87">
        <v>280000</v>
      </c>
    </row>
    <row r="175" spans="1:3" x14ac:dyDescent="0.45">
      <c r="A175" s="163">
        <v>46129</v>
      </c>
      <c r="B175" s="1" t="s">
        <v>84</v>
      </c>
      <c r="C175" s="87">
        <v>259912</v>
      </c>
    </row>
    <row r="176" spans="1:3" x14ac:dyDescent="0.45">
      <c r="A176" s="163">
        <v>46129</v>
      </c>
      <c r="B176" s="1" t="s">
        <v>84</v>
      </c>
      <c r="C176" s="87">
        <v>715000</v>
      </c>
    </row>
    <row r="177" spans="1:3" x14ac:dyDescent="0.45">
      <c r="A177" s="163">
        <v>46129</v>
      </c>
      <c r="B177" s="1" t="s">
        <v>84</v>
      </c>
      <c r="C177" s="87">
        <v>389219</v>
      </c>
    </row>
    <row r="178" spans="1:3" x14ac:dyDescent="0.45">
      <c r="A178" s="163">
        <v>46129</v>
      </c>
      <c r="B178" s="1" t="s">
        <v>84</v>
      </c>
      <c r="C178" s="87">
        <v>295000</v>
      </c>
    </row>
    <row r="179" spans="1:3" x14ac:dyDescent="0.45">
      <c r="A179" s="163">
        <v>46129</v>
      </c>
      <c r="B179" s="1" t="s">
        <v>84</v>
      </c>
      <c r="C179" s="87">
        <v>180000</v>
      </c>
    </row>
    <row r="180" spans="1:3" x14ac:dyDescent="0.45">
      <c r="A180" s="163">
        <v>46129</v>
      </c>
      <c r="B180" s="1" t="s">
        <v>84</v>
      </c>
      <c r="C180" s="87">
        <v>200000</v>
      </c>
    </row>
    <row r="181" spans="1:3" x14ac:dyDescent="0.45">
      <c r="A181" s="163">
        <v>46129</v>
      </c>
      <c r="B181" s="1" t="s">
        <v>84</v>
      </c>
      <c r="C181" s="87">
        <v>750000</v>
      </c>
    </row>
    <row r="182" spans="1:3" x14ac:dyDescent="0.45">
      <c r="A182" s="163">
        <v>46136</v>
      </c>
      <c r="B182" s="1" t="s">
        <v>84</v>
      </c>
      <c r="C182" s="87">
        <v>482000</v>
      </c>
    </row>
    <row r="183" spans="1:3" x14ac:dyDescent="0.45">
      <c r="A183" s="163">
        <v>46136</v>
      </c>
      <c r="B183" s="1" t="s">
        <v>84</v>
      </c>
      <c r="C183" s="87">
        <v>188000</v>
      </c>
    </row>
    <row r="184" spans="1:3" x14ac:dyDescent="0.45">
      <c r="A184" s="163">
        <v>46136</v>
      </c>
      <c r="B184" s="1" t="s">
        <v>84</v>
      </c>
      <c r="C184" s="87">
        <v>295000</v>
      </c>
    </row>
    <row r="185" spans="1:3" x14ac:dyDescent="0.45">
      <c r="A185" s="163">
        <v>46136</v>
      </c>
      <c r="B185" s="1" t="s">
        <v>84</v>
      </c>
      <c r="C185" s="87">
        <v>280000</v>
      </c>
    </row>
    <row r="186" spans="1:3" x14ac:dyDescent="0.45">
      <c r="A186" s="163">
        <v>46136</v>
      </c>
      <c r="B186" s="1" t="s">
        <v>84</v>
      </c>
      <c r="C186" s="87">
        <v>270000</v>
      </c>
    </row>
    <row r="187" spans="1:3" x14ac:dyDescent="0.45">
      <c r="A187" s="163">
        <v>46136</v>
      </c>
      <c r="B187" s="1" t="s">
        <v>84</v>
      </c>
      <c r="C187" s="87">
        <v>200000</v>
      </c>
    </row>
    <row r="188" spans="1:3" x14ac:dyDescent="0.45">
      <c r="A188" s="163">
        <v>46136</v>
      </c>
      <c r="B188" s="1" t="s">
        <v>84</v>
      </c>
      <c r="C188" s="87">
        <v>457000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A3B3F57-71D7-45C8-BC88-68BA4B8D86B2}">
  <ds:schemaRefs>
    <ds:schemaRef ds:uri="http://schemas.microsoft.com/office/2006/documentManagement/types"/>
    <ds:schemaRef ds:uri="http://purl.org/dc/elements/1.1/"/>
    <ds:schemaRef ds:uri="http://www.w3.org/XML/1998/namespace"/>
    <ds:schemaRef ds:uri="d07e69a6-4c47-4689-8a4b-b6455870e7f8"/>
    <ds:schemaRef ds:uri="http://purl.org/dc/dcmitype/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3fb66916-e76c-4d03-ae05-5e8b00f44c30"/>
  </ds:schemaRefs>
</ds:datastoreItem>
</file>

<file path=customXml/itemProps2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2026-04-30T15:00:24Z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