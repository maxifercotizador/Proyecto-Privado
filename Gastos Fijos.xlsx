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99" documentId="13_ncr:1_{F39443B0-11EE-4A85-84B8-BCF3678BA4E9}" xr6:coauthVersionLast="47" xr6:coauthVersionMax="47" xr10:uidLastSave="{CA6C660B-17CE-4C15-8FEF-1F1ADE914C3A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Reales'!$E$2:$I$159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N409" i="2" l="1"/>
  <c r="S241" i="2" l="1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s="1"/>
  <c r="AG3" i="2" l="1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<sst xmlns="http://schemas.openxmlformats.org/spreadsheetml/2006/main" count="1642" uniqueCount="300">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</sst>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9" tableType="queryTable" totalsRowShown="0" headerRowDxfId="39" dataDxfId="38">
  <autoFilter ref="E2:I159" xr:uid="{5FE37C07-3275-4A8B-A591-6FE12480DE4B}"/>
  <tableColumns count="5">
    <tableColumn id="1" xr3:uid="{D6C5F627-877C-473C-A0EC-2F017BBFF07A}" uniqueName="1" name="Fecha" queryTableFieldId="1" dataDxfId="10"/>
    <tableColumn id="2" xr3:uid="{E26B3483-847F-40D5-AFA3-2C070B7DE6E1}" uniqueName="2" name="Concepto" queryTableFieldId="2" dataDxfId="9"/>
    <tableColumn id="3" xr3:uid="{00FAA1E1-D086-4F68-AFD0-FCDF985BD3C0}" uniqueName="3" name="Monto $" queryTableFieldId="3" dataDxfId="8"/>
    <tableColumn id="4" xr3:uid="{0FEEAF1F-4F23-48CC-95AF-932A04B5F050}" uniqueName="4" name="Monto usd" queryTableFieldId="4" dataDxfId="7"/>
    <tableColumn id="5" xr3:uid="{31BBC099-A320-48C5-A858-D345825A2ED7}" uniqueName="5" name="Pague?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7" dataDxfId="35" headerRowBorderDxfId="36" tableBorderDxfId="34">
  <autoFilter ref="K2:N409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9" dataDxfId="27" headerRowBorderDxfId="28" tableBorderDxfId="26">
  <autoFilter ref="P2:S250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21" dataDxfId="20">
  <autoFilter ref="A2:C197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9" dataDxfId="18">
  <tableColumns count="3">
    <tableColumn id="1" xr3:uid="{169B3DED-6AE8-4A8A-A6C6-2BEAFC3087E7}" uniqueName="1" name="Fecha" queryTableFieldId="1" dataDxfId="5"/>
    <tableColumn id="2" xr3:uid="{DCEECC40-5AAE-4A3F-B154-B84061A011D8}" uniqueName="2" name="Detalle" queryTableFieldId="2" dataDxfId="4"/>
    <tableColumn id="3" xr3:uid="{64E754ED-16E9-4B0F-9E4E-95AAEDBD3CF0}" uniqueName="3" name="Valor" queryTableFieldId="3" dataDxfId="3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AM1" zoomScaleNormal="100" workbookViewId="0">
      <pane ySplit="3" topLeftCell="A4" activePane="bottomLeft" state="frozen"/>
      <selection pane="bottomLeft" activeCell="AM5" sqref="AM5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13291125.91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48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SI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SI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7" priority="1" operator="containsText" text="Tarjet">
      <formula>NOT(ISERROR(SEARCH("Tarjet",A1)))</formula>
    </cfRule>
  </conditionalFormatting>
  <conditionalFormatting sqref="A37">
    <cfRule type="expression" dxfId="16" priority="2">
      <formula>IF(A37=DAY(TODAY()),TRUE,FALSE)</formula>
    </cfRule>
  </conditionalFormatting>
  <conditionalFormatting sqref="A35:C41 A1:A36 A38:A1048576">
    <cfRule type="containsText" dxfId="15" priority="3" operator="containsText" text="presta">
      <formula>NOT(ISERROR(SEARCH("presta",A1)))</formula>
    </cfRule>
  </conditionalFormatting>
  <conditionalFormatting sqref="B1:B1048576">
    <cfRule type="expression" dxfId="14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Q1" zoomScaleNormal="100" workbookViewId="0">
      <pane ySplit="2" topLeftCell="A3" activePane="bottomLeft" state="frozen"/>
      <selection pane="bottomLeft" activeCell="W21" sqref="W21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8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3455424</v>
      </c>
      <c r="X3" s="92" t="str">
        <v>Sueldos</v>
      </c>
      <c r="Y3" s="82">
        <f t="shared" ref="Y3" si="1">IF(W3="",0,W3/$AB$7)</f>
        <v>0.23715200237463865</v>
      </c>
      <c r="AA3" s="94" t="str" cm="1">
        <f t="array" ref="AA3:AA6">_xlfn._xlws.FILTER(_xlfn.UNIQUE(X3:X5001),_xlfn.UNIQUE(X3:X5001)&lt;&gt;0)</f>
        <v>Sueldos</v>
      </c>
      <c r="AB3" s="95">
        <f>+SUMIFS($W$3:W5001,$X$3:X5001,AA3)</f>
        <v>3455424</v>
      </c>
      <c r="AC3" s="98">
        <f t="shared" ref="AC3:AC6" si="2">+AB3/$AB$7</f>
        <v>0.23715200237463865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6.8728187283821976E-2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Tarjeta Galicia - VISA</v>
      </c>
      <c r="W5" s="91">
        <v>572116.25</v>
      </c>
      <c r="X5" s="92" t="str">
        <v>GFijos</v>
      </c>
      <c r="Y5" s="82"/>
      <c r="AA5" s="94" t="str">
        <v>GFijos</v>
      </c>
      <c r="AB5" s="95">
        <f>+SUMIFS($W$3:W5003,$X$3:X5003,AA5)</f>
        <v>572116.25</v>
      </c>
      <c r="AC5" s="98">
        <f t="shared" si="2"/>
        <v>3.9265373591943958E-2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Endosado ALNAT</v>
      </c>
      <c r="W6" s="4">
        <v>1513329.65</v>
      </c>
      <c r="X6" s="92" t="str">
        <v>Mercaderia</v>
      </c>
      <c r="Y6" s="82"/>
      <c r="AA6" s="96" t="str">
        <v>Mercaderia</v>
      </c>
      <c r="AB6" s="97">
        <f>+SUMIFS($W$3:W5004,$X$3:X5004,AA6)</f>
        <v>9541558.6400000006</v>
      </c>
      <c r="AC6" s="98">
        <f t="shared" si="2"/>
        <v>0.65485443674959543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Maderas Brito</v>
      </c>
      <c r="W7" s="119">
        <v>80000</v>
      </c>
      <c r="X7" s="92" t="str">
        <v>Mercaderia</v>
      </c>
      <c r="Y7" s="82"/>
      <c r="AA7" s="83" t="s">
        <v>97</v>
      </c>
      <c r="AB7" s="100">
        <f>+SUM(AB3:AB6)</f>
        <v>14570503.16</v>
      </c>
      <c r="AD7" s="76">
        <f t="shared" si="3"/>
        <v>46113</v>
      </c>
      <c r="AG7" s="79" t="str">
        <v>mayo</v>
      </c>
      <c r="AH7" s="81">
        <v>14570503.16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Fader Plastic</v>
      </c>
      <c r="W8" s="119">
        <v>285000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REGAPLAS</v>
      </c>
      <c r="W9" s="91">
        <v>396300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E-che Rebotado</v>
      </c>
      <c r="W10" s="91">
        <v>280000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46146</v>
      </c>
      <c r="V11" s="1" t="str">
        <v>NUTHOST - Hosting</v>
      </c>
      <c r="W11" s="91">
        <v>90000</v>
      </c>
      <c r="X11" s="92" t="str">
        <v>GVarios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46149</v>
      </c>
      <c r="V12" s="1" t="str">
        <v>Endosado ALNAT</v>
      </c>
      <c r="W12" s="91">
        <v>919720.09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ALU-MAQ</v>
      </c>
      <c r="W13" s="91">
        <v>564841.93000000005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46155</v>
      </c>
      <c r="V14" s="1" t="str">
        <v>Endosado ALNAT</v>
      </c>
      <c r="W14" s="91">
        <v>1925665.43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46157</v>
      </c>
      <c r="V15" s="1" t="str">
        <v>Endosado ALNAT</v>
      </c>
      <c r="W15" s="91">
        <v>799786.09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46159</v>
      </c>
      <c r="V16" s="1" t="str">
        <v>Endosado ALNAT</v>
      </c>
      <c r="W16" s="91">
        <v>2137195.3600000003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46162</v>
      </c>
      <c r="V17" s="1" t="str">
        <v>IVA Mayo/26</v>
      </c>
      <c r="W17" s="91">
        <v>0</v>
      </c>
      <c r="X17" s="92" t="str">
        <v>GVarios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>
        <v>46169</v>
      </c>
      <c r="V18" s="1" t="str">
        <v>Endosado ALU-MAQ</v>
      </c>
      <c r="W18" s="91">
        <v>919720.09</v>
      </c>
      <c r="X18" s="92" t="str">
        <v>Mercaderia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5" x14ac:dyDescent="0.25">
      <c r="E159" s="79">
        <v>46146</v>
      </c>
      <c r="F159" s="78" t="s">
        <v>55</v>
      </c>
      <c r="G159" s="78">
        <v>572116.25</v>
      </c>
      <c r="I159" s="78" t="s">
        <v>48</v>
      </c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299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3.285156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3455424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821000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