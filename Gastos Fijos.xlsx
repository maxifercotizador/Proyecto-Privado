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30" documentId="13_ncr:1_{F39443B0-11EE-4A85-84B8-BCF3678BA4E9}" xr6:coauthVersionLast="47" xr6:coauthVersionMax="47" xr10:uidLastSave="{5B4929A4-68B4-4BF8-9FBF-CAA1AECF950C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66" i="1" a="1"/>
  <c r="HF234" i="1" a="1"/>
  <c r="HF79" i="1" a="1"/>
  <c r="HF196" i="1" a="1"/>
  <c r="HF116" i="1" a="1"/>
  <c r="HF308" i="1" a="1"/>
  <c r="HF39" i="1" a="1"/>
  <c r="HF157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06" i="1" a="1"/>
  <c r="HF31" i="1" a="1"/>
  <c r="HF33" i="1" a="1"/>
  <c r="HF190" i="1" a="1"/>
  <c r="HF230" i="1" a="1"/>
  <c r="HF156" i="1" a="1"/>
  <c r="HF6" i="1" a="1"/>
  <c r="HF12" i="1" a="1"/>
  <c r="HF153" i="1" a="1"/>
  <c r="HF22" i="1" a="1"/>
  <c r="HF77" i="1" a="1"/>
  <c r="HF32" i="1" a="1"/>
  <c r="HF35" i="1" a="1"/>
  <c r="HF9" i="1" a="1"/>
  <c r="HF154" i="1" a="1"/>
  <c r="HF20" i="1" a="1"/>
  <c r="HF8" i="1" a="1"/>
  <c r="HF36" i="1" a="1"/>
  <c r="HF305" i="1" a="1"/>
  <c r="HF23" i="1" a="1"/>
  <c r="HF114" i="1" a="1"/>
  <c r="HF267" i="1" a="1"/>
  <c r="HF18" i="1" a="1"/>
  <c r="HF4" i="1" a="1"/>
  <c r="HF38" i="1" a="1"/>
  <c r="HF37" i="1" a="1"/>
  <c r="HF194" i="1" a="1"/>
  <c r="HF155" i="1" a="1"/>
  <c r="HF197" i="1" a="1"/>
  <c r="HF191" i="1" a="1"/>
  <c r="HF14" i="1" a="1"/>
  <c r="HF115" i="1" a="1"/>
  <c r="HF307" i="1" a="1"/>
  <c r="HF232" i="1" a="1"/>
  <c r="HF192" i="1" a="1"/>
  <c r="HF78" i="1" a="1"/>
  <c r="HF56" i="1" a="1"/>
  <c r="HF28" i="1" a="1"/>
  <c r="HF17" i="1" a="1"/>
  <c r="HF24" i="1" a="1"/>
  <c r="HF13" i="1" a="1"/>
  <c r="HF10" i="1" a="1"/>
  <c r="HF29" i="1" a="1"/>
  <c r="HF7" i="1" a="1"/>
  <c r="HF228" i="1" a="1"/>
  <c r="HF195" i="1" a="1"/>
  <c r="HF152" i="1" a="1"/>
  <c r="HF229" i="1" a="1"/>
  <c r="HF30" i="1" a="1"/>
  <c r="HF5" i="1" a="1"/>
  <c r="HF26" i="1" a="1"/>
  <c r="HF11" i="1" a="1"/>
  <c r="HF27" i="1" a="1"/>
  <c r="HF304" i="1" a="1"/>
  <c r="HF16" i="1" a="1"/>
  <c r="HF25" i="1" a="1"/>
  <c r="HF34" i="1" a="1"/>
  <c r="HF193" i="1" a="1"/>
  <c r="HF117" i="1" a="1"/>
  <c r="HF233" i="1" a="1"/>
  <c r="HF15" i="1" a="1"/>
  <c r="HF231" i="1" a="1"/>
  <c r="HF19" i="1" a="1"/>
  <c r="HF235" i="1" a="1"/>
  <c r="HF158" i="1" a="1"/>
  <c r="HF21" i="1" a="1"/>
  <c r="HF309" i="1" a="1"/>
  <c r="HF80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5" i="1" a="1"/>
  <c r="HF46" i="1" a="1"/>
  <c r="HF236" i="1" a="1"/>
  <c r="HF50" i="1" a="1"/>
  <c r="HF51" i="1" a="1"/>
  <c r="HF268" i="1" a="1"/>
  <c r="HF48" i="1" a="1"/>
  <c r="HF43" i="1" a="1"/>
  <c r="HF53" i="1" a="1"/>
  <c r="HF47" i="1" a="1"/>
  <c r="HF118" i="1" a="1"/>
  <c r="HF310" i="1" a="1"/>
  <c r="HF49" i="1" a="1"/>
  <c r="HF55" i="1" a="1"/>
  <c r="HF58" i="1" a="1"/>
  <c r="HF42" i="1" a="1"/>
  <c r="HF52" i="1" a="1"/>
  <c r="HF159" i="1" a="1"/>
  <c r="HF41" i="1" a="1"/>
  <c r="HF81" i="1" a="1"/>
  <c r="HF54" i="1" a="1"/>
  <c r="HF44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7" i="1" a="1"/>
  <c r="HF269" i="1" a="1"/>
  <c r="HF59" i="1" a="1"/>
  <c r="HF160" i="1" a="1"/>
  <c r="HF311" i="1" a="1"/>
  <c r="HF119" i="1" a="1"/>
  <c r="HF82" i="1" a="1"/>
  <c r="HF237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270" i="1" a="1"/>
  <c r="HF312" i="1" a="1"/>
  <c r="HF200" i="1" a="1"/>
  <c r="HF60" i="1" a="1"/>
  <c r="HF161" i="1" a="1"/>
  <c r="HF238" i="1" a="1"/>
  <c r="HF83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313" i="1" a="1"/>
  <c r="HF121" i="1" a="1"/>
  <c r="HF61" i="1" a="1"/>
  <c r="HF271" i="1" a="1"/>
  <c r="HF84" i="1" a="1"/>
  <c r="HF162" i="1" a="1"/>
  <c r="HF239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85" i="1" a="1"/>
  <c r="HF122" i="1" a="1"/>
  <c r="HF314" i="1" a="1"/>
  <c r="HF240" i="1" a="1"/>
  <c r="HF202" i="1" a="1"/>
  <c r="HF163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64" i="1" a="1"/>
  <c r="HF123" i="1" a="1"/>
  <c r="HF203" i="1" a="1"/>
  <c r="HF241" i="1" a="1"/>
  <c r="HF86" i="1" a="1"/>
  <c r="HF315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316" i="1" a="1"/>
  <c r="HF242" i="1" a="1"/>
  <c r="HF165" i="1" a="1"/>
  <c r="HF87" i="1" a="1"/>
  <c r="HF204" i="1" a="1"/>
  <c r="HF124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25" i="1" a="1"/>
  <c r="HF205" i="1" a="1"/>
  <c r="HF166" i="1" a="1"/>
  <c r="HF243" i="1" a="1"/>
  <c r="HF317" i="1" a="1"/>
  <c r="HF88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244" i="1" a="1"/>
  <c r="HF66" i="1" a="1"/>
  <c r="HF276" i="1" a="1"/>
  <c r="HF89" i="1" a="1"/>
  <c r="HF318" i="1" a="1"/>
  <c r="HF206" i="1" a="1"/>
  <c r="HF12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319" i="1" a="1"/>
  <c r="HF207" i="1" a="1"/>
  <c r="HF127" i="1" a="1"/>
  <c r="HF277" i="1" a="1"/>
  <c r="HF168" i="1" a="1"/>
  <c r="HF245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278" i="1" a="1"/>
  <c r="HF320" i="1" a="1"/>
  <c r="HF128" i="1" a="1"/>
  <c r="HF169" i="1" a="1"/>
  <c r="HF208" i="1" a="1"/>
  <c r="HF91" i="1" a="1"/>
  <c r="HF246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247" i="1" a="1"/>
  <c r="HF279" i="1" a="1"/>
  <c r="HF209" i="1" a="1"/>
  <c r="HF129" i="1" a="1"/>
  <c r="HF170" i="1" a="1"/>
  <c r="HF321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322" i="1" a="1"/>
  <c r="HF280" i="1" a="1"/>
  <c r="HF171" i="1" a="1"/>
  <c r="HF93" i="1" a="1"/>
  <c r="HF248" i="1" a="1"/>
  <c r="HF210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131" i="1" a="1"/>
  <c r="HF249" i="1" a="1"/>
  <c r="HF211" i="1" a="1"/>
  <c r="HF94" i="1" a="1"/>
  <c r="HF323" i="1" a="1"/>
  <c r="HF172" i="1" a="1"/>
  <c r="HF281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250" i="1" a="1"/>
  <c r="HF72" i="1" a="1"/>
  <c r="HF173" i="1" a="1"/>
  <c r="HF282" i="1" a="1"/>
  <c r="HF212" i="1" a="1"/>
  <c r="HF132" i="1" a="1"/>
  <c r="HF95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96" i="1" a="1"/>
  <c r="HF283" i="1" a="1"/>
  <c r="HF213" i="1" a="1"/>
  <c r="HF133" i="1" a="1"/>
  <c r="HF174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34" i="1" a="1"/>
  <c r="HF97" i="1" a="1"/>
  <c r="HF251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85" i="1" a="1"/>
  <c r="HF98" i="1" a="1"/>
  <c r="HF214" i="1" a="1"/>
  <c r="HF252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136" i="1" a="1"/>
  <c r="HF253" i="1" a="1"/>
  <c r="HF99" i="1" a="1"/>
  <c r="HF215" i="1" a="1"/>
  <c r="HF176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254" i="1" a="1"/>
  <c r="HF216" i="1" a="1"/>
  <c r="HF177" i="1" a="1"/>
  <c r="HF137" i="1" a="1"/>
  <c r="HF100" i="1" a="1"/>
  <c r="HF287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178" i="1" a="1"/>
  <c r="HF255" i="1" a="1"/>
  <c r="HF217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138" i="1" a="1"/>
  <c r="HF218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03" i="1" a="1"/>
  <c r="HF13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<sst xmlns="http://schemas.openxmlformats.org/spreadsheetml/2006/main" count="1634" uniqueCount="298">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</sst>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6" totalsRowShown="0" headerRowDxfId="32" dataDxfId="30" headerRowBorderDxfId="31" tableBorderDxfId="29">
  <autoFilter ref="K2:N406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8" totalsRowShown="0" headerRowDxfId="24" dataDxfId="22" headerRowBorderDxfId="23" tableBorderDxfId="21">
  <autoFilter ref="P2:S248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D1" zoomScaleNormal="100" workbookViewId="0">
      <pane ySplit="3" topLeftCell="A4" activePane="bottomLeft" state="frozen"/>
      <selection pane="bottomLeft" activeCell="AR7" sqref="AR7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47" activePane="bottomLeft" state="frozen"/>
      <selection pane="bottomLeft" activeCell="P249" sqref="P249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2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0.25995734629711614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0.25995734629711614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911404.27</v>
      </c>
      <c r="AC4" s="98">
        <f t="shared" si="2"/>
        <v>6.959363329393177E-2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8780258.6400000006</v>
      </c>
      <c r="AC5" s="98">
        <f t="shared" si="2"/>
        <v>0.67044902040895216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E-che Rebotado</v>
      </c>
      <c r="W6" s="4">
        <v>280000</v>
      </c>
      <c r="X6" s="92" t="str">
        <v>GVarios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46149</v>
      </c>
      <c r="V7" s="1" t="str">
        <v>Endosado ALNAT</v>
      </c>
      <c r="W7" s="119">
        <v>919720.09</v>
      </c>
      <c r="X7" s="92" t="str">
        <v>Mercaderia</v>
      </c>
      <c r="Y7" s="82"/>
      <c r="AA7" s="83" t="s">
        <v>97</v>
      </c>
      <c r="AB7" s="100">
        <f>+SUM(AB3:AB6)</f>
        <v>13096086.91</v>
      </c>
      <c r="AD7" s="76">
        <f t="shared" si="3"/>
        <v>46113</v>
      </c>
      <c r="AG7" s="79" t="str">
        <v>mayo</v>
      </c>
      <c r="AH7" s="81">
        <v>13096086.91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46155</v>
      </c>
      <c r="V8" s="1" t="str">
        <v>Endosado ALU-MAQ</v>
      </c>
      <c r="W8" s="119">
        <v>564841.93000000005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46155</v>
      </c>
      <c r="V9" s="1" t="str">
        <v>Endosado ALNAT</v>
      </c>
      <c r="W9" s="91">
        <v>1925665.43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46157</v>
      </c>
      <c r="V10" s="1" t="str">
        <v>Endosado ALNAT</v>
      </c>
      <c r="W10" s="91">
        <v>799786.09</v>
      </c>
      <c r="X10" s="92" t="str">
        <v>Mercaderia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46159</v>
      </c>
      <c r="V11" s="1" t="str">
        <v>Endosado ALNAT</v>
      </c>
      <c r="W11" s="91">
        <v>2137195.3600000003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46169</v>
      </c>
      <c r="V12" s="1" t="str">
        <v>Endosado ALU-MAQ</v>
      </c>
      <c r="W12" s="91">
        <v>919720.09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/>
      <c r="W13" s="91"/>
      <c r="X13" s="92"/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/>
      <c r="W14" s="91"/>
      <c r="X14" s="92"/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/>
      <c r="W15" s="91"/>
      <c r="X15" s="92"/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/>
      <c r="W16" s="91"/>
      <c r="X16" s="92"/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N407" s="101"/>
      <c r="X407" s="3"/>
    </row>
    <row r="408" spans="11:24" ht="14.25" customHeight="1" x14ac:dyDescent="0.25">
      <c r="X408" s="3"/>
    </row>
    <row r="409" spans="11:24" ht="14.25" customHeight="1" x14ac:dyDescent="0.25">
      <c r="N409" s="101"/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disablePrompts="1" count="1">
    <dataValidation type="list" allowBlank="1" showInputMessage="1" showErrorMessage="1" sqref="R3:R231 M3:M406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2026-05-04T12:06:57Z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