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47" documentId="13_ncr:1_{F39443B0-11EE-4A85-84B8-BCF3678BA4E9}" xr6:coauthVersionLast="47" xr6:coauthVersionMax="47" xr10:uidLastSave="{1AFD6239-DFEC-49AC-BB85-2796F68A5095}"/>
  <bookViews>
    <workbookView xWindow="-120" yWindow="-120" windowWidth="29040" windowHeight="15720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R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<sst xmlns="http://schemas.openxmlformats.org/spreadsheetml/2006/main" count="1639" uniqueCount="300">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</sst>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49" totalsRowShown="0" headerRowDxfId="24" dataDxfId="22" headerRowBorderDxfId="23" tableBorderDxfId="21">
  <autoFilter ref="P2:S249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tabSelected="1" zoomScaleNormal="100" workbookViewId="0">
      <pane ySplit="3" topLeftCell="A4" activePane="bottomLeft" state="frozen"/>
      <selection pane="bottomLeft" activeCell="E11" sqref="E11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13857944.539999999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13210124.539999999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90342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f>+AN23</f>
        <v>90342</v>
      </c>
      <c r="AS23" s="52"/>
      <c r="AT23" s="9"/>
      <c r="AU23" s="22">
        <f t="shared" si="43"/>
        <v>6</v>
      </c>
      <c r="AV23" s="8">
        <f>+AR23</f>
        <v>90342</v>
      </c>
      <c r="AW23" s="52"/>
      <c r="AX23" s="9"/>
      <c r="AY23" s="22">
        <f t="shared" ref="AY23:AY27" si="63">+AU23</f>
        <v>6</v>
      </c>
      <c r="AZ23" s="8">
        <f>+AV23</f>
        <v>90342</v>
      </c>
      <c r="BA23" s="52"/>
      <c r="BB23" s="9"/>
      <c r="BC23" s="22">
        <f t="shared" ref="BC23:BC27" si="64">+AY23</f>
        <v>6</v>
      </c>
      <c r="BD23" s="8">
        <f>+AZ23</f>
        <v>90342</v>
      </c>
      <c r="BE23" s="52"/>
      <c r="BF23" s="9"/>
      <c r="BG23" s="22">
        <f t="shared" ref="BG23:BG27" si="65">+BC23</f>
        <v>6</v>
      </c>
      <c r="BH23" s="8">
        <f>+BD23</f>
        <v>90342</v>
      </c>
      <c r="BI23" s="52"/>
      <c r="BJ23" s="9"/>
      <c r="BK23" s="22">
        <f t="shared" ref="BK23:BK27" si="66">+BG23</f>
        <v>6</v>
      </c>
      <c r="BL23" s="8">
        <f>+BH23</f>
        <v>90342</v>
      </c>
      <c r="BM23" s="52"/>
      <c r="BN23" s="9"/>
      <c r="BO23" s="22">
        <f t="shared" ref="BO23:BO27" si="67">+BK23</f>
        <v>6</v>
      </c>
      <c r="BP23" s="8">
        <f>+BL23</f>
        <v>90342</v>
      </c>
      <c r="BQ23" s="52"/>
      <c r="BR23" s="9"/>
      <c r="BS23" s="22">
        <f t="shared" ref="BS23:BS27" si="68">+BO23</f>
        <v>6</v>
      </c>
      <c r="BT23" s="8">
        <f>+BP23</f>
        <v>90342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12886214.540000001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1373909.29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9212909.2899999991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580090.71000000089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90342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90342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90342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opLeftCell="J1" zoomScaleNormal="100" workbookViewId="0">
      <pane ySplit="2" topLeftCell="A389" activePane="bottomLeft" state="frozen"/>
      <selection pane="bottomLeft" activeCell="N410" sqref="N410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6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0.24409045378665845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0.24409045378665845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7.1798701538996743E-2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0.6841108446743448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13947386.91</v>
      </c>
      <c r="AD7" s="76">
        <f t="shared" si="3"/>
        <v>46113</v>
      </c>
      <c r="AG7" s="79" t="str">
        <v>mayo</v>
      </c>
      <c r="AH7" s="81">
        <v>13947386.91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46169</v>
      </c>
      <c r="V16" s="1" t="str">
        <v>Endosado ALU-MAQ</v>
      </c>
      <c r="W16" s="91">
        <v>919720.09</v>
      </c>
      <c r="X16" s="92" t="str">
        <v>Mercaderia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/>
      <c r="W17" s="91"/>
      <c r="X17" s="92"/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disablePrompts="1"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2026-05-04T21:48:30Z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