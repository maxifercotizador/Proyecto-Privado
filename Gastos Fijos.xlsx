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69" documentId="13_ncr:1_{F39443B0-11EE-4A85-84B8-BCF3678BA4E9}" xr6:coauthVersionLast="47" xr6:coauthVersionMax="47" xr10:uidLastSave="{8494FADC-5CE6-4153-AA8B-452BF683A557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N409" i="2" l="1"/>
  <c r="S241" i="2" l="1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<sst xmlns="http://schemas.openxmlformats.org/spreadsheetml/2006/main" count="1640" uniqueCount="301">
  <si>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</si>
  <si>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</si>
  <si>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</si>
  <si>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</si>
  <si>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</si>
  <si>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</si>
  <si>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</si>
  <si>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</si>
  <si>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</si>
  <si>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</si>
  <si>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</si>
  <si>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</si>
  <si>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</si>
  <si>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</si>
  <si>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</si>
  <si>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</si>
  <si>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</si>
  <si>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</si>
  <si>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</si>
  <si>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</si>
  <si>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</si>
  <si>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</si>
  <si>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</si>
  <si>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</si>
  <si>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</si>
  <si>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</si>
  <si>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</si>
  <si>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</si>
  <si>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</si>
  <si>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</si>
  <si>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</si>
  <si>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</si>
  <si>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</si>
  <si>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</si>
  <si>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</si>
  <si>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</si>
  <si>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</si>
  <si>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</si>
  <si>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</si>
  <si>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</si>
  <si>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</si>
  <si>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</si>
  <si>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</si>
  <si>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</si>
  <si>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</si>
  <si>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</si>
  <si>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</si>
  <si>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</si>
  <si>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</si>
  <si>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</si>
  <si>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</si>
  <si>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</si>
  <si>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</si>
  <si>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</si>
  <si>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</si>
  <si>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</si>
  <si>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</si>
  <si>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</si>
  <si>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</si>
  <si>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</si>
  <si>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</si>
  <si>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</si>
  <si>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</si>
  <si>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</si>
  <si>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</si>
  <si>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</si>
  <si>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</si>
  <si>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</si>
  <si>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</si>
  <si>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</si>
  <si>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</si>
  <si>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</si>
  <si>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</si>
  <si>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</si>
  <si>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</si>
  <si>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</si>
  <si>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</si>
  <si>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</si>
  <si>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</si>
  <si>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</si>
  <si>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</si>
  <si>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</si>
  <si>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</si>
  <si>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</si>
  <si>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</si>
  <si>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</si>
  <si>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</si>
  <si>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</si>
  <si>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</si>
  <si>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</si>
  <si>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</si>
  <si>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</si>
  <si>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</si>
  <si>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</si>
  <si>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</si>
  <si>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</si>
  <si>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</si>
  <si>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</si>
  <si>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</si>
  <si>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</si>
  <si>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</si>
  <si>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</si>
  <si>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</si>
  <si>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</si>
  <si>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</si>
  <si>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</si>
  <si>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</si>
  <si>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</si>
  <si>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</si>
  <si>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</si>
  <si>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</si>
  <si>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</si>
  <si>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</si>
  <si>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</si>
  <si>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</si>
  <si>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</si>
  <si>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</si>
  <si>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</si>
  <si>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</si>
  <si>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</si>
  <si>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</si>
  <si>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</si>
  <si>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</si>
  <si>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</si>
  <si>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</si>
  <si>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</si>
  <si>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</si>
  <si>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</si>
  <si>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</si>
  <si>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</si>
  <si>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</si>
  <si>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</si>
  <si>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</si>
  <si>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</si>
  <si>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</si>
  <si>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</si>
  <si>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</si>
  <si>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</si>
  <si>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</si>
  <si>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</si>
  <si>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</si>
  <si>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</si>
  <si>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</si>
  <si>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</si>
  <si>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</si>
  <si>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</si>
  <si>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</si>
  <si>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</si>
  <si>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</si>
  <si>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</si>
  <si>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</si>
  <si>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</si>
  <si>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</si>
  <si>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</si>
  <si>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</si>
  <si>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</si>
  <si>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</si>
  <si>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</si>
  <si>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</si>
  <si>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</si>
  <si>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</si>
  <si>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</si>
  <si>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</si>
  <si>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</si>
  <si>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</si>
  <si>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</si>
  <si>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</si>
  <si>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</si>
  <si>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</si>
  <si>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</si>
  <si>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</si>
  <si>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</si>
  <si>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</si>
  <si>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</si>
  <si>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</si>
  <si>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</si>
  <si>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</si>
  <si>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</si>
  <si>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</si>
  <si>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</si>
  <si>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</si>
  <si>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</si>
  <si>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</si>
  <si>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</si>
  <si>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</si>
  <si>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</si>
  <si>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</si>
  <si>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</si>
  <si>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</si>
  <si>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</si>
  <si>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</si>
  <si>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</si>
  <si>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</si>
  <si>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</si>
  <si>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</si>
  <si>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</si>
  <si>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</si>
  <si>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</si>
  <si>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</si>
  <si>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</si>
  <si>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</si>
  <si>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</si>
  <si>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</si>
  <si>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</si>
  <si>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</si>
  <si>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</si>
  <si>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</si>
  <si>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</si>
  <si>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</si>
  <si>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</si>
  <si>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</si>
  <si>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</si>
  <si>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</si>
  <si>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</si>
  <si>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</si>
  <si>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</si>
  <si>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</si>
  <si>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</si>
  <si>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</si>
  <si>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</si>
  <si>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</si>
  <si>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</si>
  <si>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</si>
  <si>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</si>
  <si>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</si>
  <si>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</si>
  <si>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</si>
  <si>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</si>
  <si>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</si>
  <si>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</si>
  <si>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</si>
  <si>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</si>
  <si>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</si>
  <si>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</si>
  <si>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</si>
  <si>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</si>
  <si>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</si>
  <si>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</si>
  <si>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</si>
  <si>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</si>
  <si>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</si>
  <si>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</si>
  <si>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</si>
  <si>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</si>
  <si>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</si>
  <si>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</si>
  <si>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</si>
  <si>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</si>
  <si>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</si>
  <si>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</si>
  <si>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</si>
  <si>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</si>
  <si>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</si>
  <si>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</si>
  <si>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</si>
  <si>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</si>
  <si>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</si>
  <si>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</si>
  <si>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</si>
  <si>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</si>
  <si>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</si>
  <si>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</si>
  <si>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</si>
  <si>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</si>
  <si>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</si>
  <si>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</si>
  <si>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</si>
  <si>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</si>
  <si>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</si>
  <si>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</si>
  <si>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</si>
  <si>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</si>
  <si>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</si>
  <si>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</si>
  <si>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</si>
  <si>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</si>
  <si>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</si>
  <si>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</si>
  <si>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</si>
  <si>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</si>
  <si>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</si>
  <si>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</si>
  <si>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</si>
  <si>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</si>
  <si>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</si>
  <si>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</si>
  <si>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</si>
  <si>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</si>
  <si>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</si>
  <si>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</si>
  <si>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</si>
  <si>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</si>
  <si>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</si>
  <si>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</si>
  <si>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</si>
  <si>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</si>
  <si>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</si>
  <si>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</si>
  <si>
    <t>NUTHOST - Hosting</t>
  </si>
  <si>
    <t>OK</t>
  </si>
  <si>
    <t>IVA Mayo/26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</si>
</sst>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10"/>
    <tableColumn id="2" xr3:uid="{E26B3483-847F-40D5-AFA3-2C070B7DE6E1}" uniqueName="2" name="Concepto" queryTableFieldId="2" dataDxfId="9"/>
    <tableColumn id="3" xr3:uid="{00FAA1E1-D086-4F68-AFD0-FCDF985BD3C0}" uniqueName="3" name="Monto $" queryTableFieldId="3" dataDxfId="8"/>
    <tableColumn id="4" xr3:uid="{0FEEAF1F-4F23-48CC-95AF-932A04B5F050}" uniqueName="4" name="Monto usd" queryTableFieldId="4" dataDxfId="7"/>
    <tableColumn id="5" xr3:uid="{31BBC099-A320-48C5-A858-D345825A2ED7}" uniqueName="5" name="Pague?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9" totalsRowShown="0" headerRowDxfId="37" dataDxfId="35" headerRowBorderDxfId="36" tableBorderDxfId="34">
  <autoFilter ref="K2:N409" xr:uid="{C8BFE7E8-F4B1-450E-9A9C-66EAF7DE48DB}"/>
  <tableColumns count="4">
    <tableColumn id="1" xr3:uid="{49C209D3-73D7-4B59-9002-862C7B8E00D2}" name="Fecha" dataDxfId="33"/>
    <tableColumn id="2" xr3:uid="{0FF5403D-3F49-4DD2-88BD-5CA45DCA2D29}" name="Proveedor" dataDxfId="32"/>
    <tableColumn id="4" xr3:uid="{4E1AA58D-1AFB-4150-A0EF-BE3821197242}" name="Facturado?" dataDxfId="31"/>
    <tableColumn id="3" xr3:uid="{C3347052-2AB7-4B0D-B87D-4B694330D84C}" name="Importe" dataDxfId="30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50" totalsRowShown="0" headerRowDxfId="29" dataDxfId="27" headerRowBorderDxfId="28" tableBorderDxfId="26">
  <autoFilter ref="P2:S250" xr:uid="{36AB0F67-524C-4FFF-AEF6-0A7EC277ADD5}"/>
  <tableColumns count="4">
    <tableColumn id="1" xr3:uid="{FEFF1D0F-CFEF-40DF-96AF-BA2043D19A37}" name="Fecha" dataDxfId="25"/>
    <tableColumn id="2" xr3:uid="{B9107C6F-1D7E-4DD8-B799-6AADA5C0B23B}" name="Concepto" dataDxfId="24"/>
    <tableColumn id="4" xr3:uid="{9059F8A0-82D0-494D-B796-770F910EE61E}" name="Facturado?" dataDxfId="23"/>
    <tableColumn id="3" xr3:uid="{3EA896CB-60F7-4C2B-B08C-501C2DF6943E}" name="Importe" dataDxfId="22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21" dataDxfId="20">
  <autoFilter ref="A2:C197" xr:uid="{92A7D90D-B388-4015-AC75-841DEDA78CF7}"/>
  <tableColumns count="3">
    <tableColumn id="1" xr3:uid="{6756029C-25E0-4A33-A7CB-82A4691AB243}" uniqueName="1" name="Fecha" queryTableFieldId="1" dataDxfId="2"/>
    <tableColumn id="2" xr3:uid="{766723DD-E89E-4342-8EEA-44308A9C6625}" uniqueName="2" name="Detalle" queryTableFieldId="2" dataDxfId="1"/>
    <tableColumn id="3" xr3:uid="{C67E469E-FE47-4511-AB09-85EB87EBF329}" uniqueName="3" name="Valor" queryTableFieldId="3" dataDxfId="0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9" dataDxfId="18">
  <tableColumns count="3">
    <tableColumn id="1" xr3:uid="{169B3DED-6AE8-4A8A-A6C6-2BEAFC3087E7}" uniqueName="1" name="Fecha" queryTableFieldId="1" dataDxfId="5"/>
    <tableColumn id="2" xr3:uid="{DCEECC40-5AAE-4A3F-B154-B84061A011D8}" uniqueName="2" name="Detalle" queryTableFieldId="2" dataDxfId="4"/>
    <tableColumn id="3" xr3:uid="{64E754ED-16E9-4B0F-9E4E-95AAEDBD3CF0}" uniqueName="3" name="Valor" queryTableFieldId="3" dataDxfId="3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A23" sqref="A23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13863242.16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13215422.16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 t="s">
        <v>299</v>
      </c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>OK</v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95639.62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Tarjeta Galicia - BUSINESS</v>
      </c>
      <c r="B23" s="42">
        <f ca="1"/>
        <v>15</v>
      </c>
      <c r="C23" s="102">
        <f ca="1"/>
        <v>848160</v>
      </c>
      <c r="D23" s="133" t="str">
        <f ca="1"/>
        <v/>
      </c>
      <c r="E23" s="134" t="str">
        <f ca="1"/>
        <v/>
      </c>
      <c r="F23" s="140">
        <f t="shared" ca="1" si="19"/>
        <v>11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v>95639.62</v>
      </c>
      <c r="AS23" s="52"/>
      <c r="AT23" s="9"/>
      <c r="AU23" s="22">
        <f t="shared" si="43"/>
        <v>6</v>
      </c>
      <c r="AV23" s="8">
        <f>+AR23</f>
        <v>95639.62</v>
      </c>
      <c r="AW23" s="52"/>
      <c r="AX23" s="9"/>
      <c r="AY23" s="22">
        <f t="shared" ref="AY23:AY27" si="63">+AU23</f>
        <v>6</v>
      </c>
      <c r="AZ23" s="8">
        <f>+AV23</f>
        <v>95639.62</v>
      </c>
      <c r="BA23" s="52"/>
      <c r="BB23" s="9"/>
      <c r="BC23" s="22">
        <f t="shared" ref="BC23:BC27" si="64">+AY23</f>
        <v>6</v>
      </c>
      <c r="BD23" s="8">
        <f>+AZ23</f>
        <v>95639.62</v>
      </c>
      <c r="BE23" s="52"/>
      <c r="BF23" s="9"/>
      <c r="BG23" s="22">
        <f t="shared" ref="BG23:BG27" si="65">+BC23</f>
        <v>6</v>
      </c>
      <c r="BH23" s="8">
        <f>+BD23</f>
        <v>95639.62</v>
      </c>
      <c r="BI23" s="52"/>
      <c r="BJ23" s="9"/>
      <c r="BK23" s="22">
        <f t="shared" ref="BK23:BK27" si="66">+BG23</f>
        <v>6</v>
      </c>
      <c r="BL23" s="8">
        <f>+BH23</f>
        <v>95639.62</v>
      </c>
      <c r="BM23" s="52"/>
      <c r="BN23" s="9"/>
      <c r="BO23" s="22">
        <f t="shared" ref="BO23:BO27" si="67">+BK23</f>
        <v>6</v>
      </c>
      <c r="BP23" s="8">
        <f>+BL23</f>
        <v>95639.62</v>
      </c>
      <c r="BQ23" s="52"/>
      <c r="BR23" s="9"/>
      <c r="BS23" s="22">
        <f t="shared" ref="BS23:BS27" si="68">+BO23</f>
        <v>6</v>
      </c>
      <c r="BT23" s="8">
        <f>+BP23</f>
        <v>95639.62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446304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Cuota Facilidades IVA</v>
      </c>
      <c r="B25" s="42">
        <f ca="1"/>
        <v>16</v>
      </c>
      <c r="C25" s="102">
        <f ca="1"/>
        <v>410336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Personal Flow</v>
      </c>
      <c r="B26" s="42">
        <f ca="1"/>
        <v>16</v>
      </c>
      <c r="C26" s="102">
        <f ca="1"/>
        <v>89083</v>
      </c>
      <c r="D26" s="133" t="str">
        <f ca="1"/>
        <v/>
      </c>
      <c r="E26" s="134" t="str">
        <f ca="1"/>
        <v/>
      </c>
      <c r="F26" s="140">
        <f t="shared" ca="1" si="19"/>
        <v>12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15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12891512.16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1379206.91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9218206.9100000001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574793.08999999985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>OK</v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95639.62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46157</v>
      </c>
      <c r="HG247" s="1" t="str">
        <f ca="1"/>
        <v>Tarjeta Galicia - BUSINESS</v>
      </c>
      <c r="HH247" s="1">
        <f ca="1"/>
        <v>15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446304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Cuota Facilidades IVA</v>
      </c>
      <c r="HH249" s="1">
        <f ca="1"/>
        <v>16</v>
      </c>
      <c r="HI249" s="4">
        <f ca="1"/>
        <v>410336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46158</v>
      </c>
      <c r="HG250" s="1" t="str">
        <f ca="1"/>
        <v>Personal Flow</v>
      </c>
      <c r="HH250" s="1">
        <f ca="1"/>
        <v>16</v>
      </c>
      <c r="HI250" s="4">
        <f ca="1"/>
        <v>89083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95639.62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95639.62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17" priority="1" operator="containsText" text="Tarjet">
      <formula>NOT(ISERROR(SEARCH("Tarjet",A1)))</formula>
    </cfRule>
  </conditionalFormatting>
  <conditionalFormatting sqref="A37">
    <cfRule type="expression" dxfId="16" priority="2">
      <formula>IF(A37=DAY(TODAY()),TRUE,FALSE)</formula>
    </cfRule>
  </conditionalFormatting>
  <conditionalFormatting sqref="A35:C41 A1:A36 A38:A1048576">
    <cfRule type="containsText" dxfId="15" priority="3" operator="containsText" text="presta">
      <formula>NOT(ISERROR(SEARCH("presta",A1)))</formula>
    </cfRule>
  </conditionalFormatting>
  <conditionalFormatting sqref="B1:B1048576">
    <cfRule type="expression" dxfId="14" priority="4">
      <formula>IF(B1=DAY(TODAY()),TRUE,FALSE)</formula>
    </cfRule>
  </conditionalFormatting>
  <dataValidations disablePrompts="1"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M1" zoomScaleNormal="100" workbookViewId="0">
      <pane ySplit="2" topLeftCell="A3" activePane="bottomLeft" state="frozen"/>
      <selection pane="bottomLeft" activeCell="V4" sqref="V4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7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3455424</v>
      </c>
      <c r="X3" s="92" t="str">
        <v>Sueldos</v>
      </c>
      <c r="Y3" s="82">
        <f t="shared" ref="Y3" si="1">IF(W3="",0,W3/$AB$7)</f>
        <v>0.2468444415928778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3455424</v>
      </c>
      <c r="AC3" s="98">
        <f t="shared" ref="AC3:AC6" si="2">+AB3/$AB$7</f>
        <v>0.2468444415928778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1001404.27</v>
      </c>
      <c r="AC4" s="98">
        <f t="shared" si="2"/>
        <v>7.1537118986519002E-2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9541558.6400000006</v>
      </c>
      <c r="AC5" s="98">
        <f t="shared" si="2"/>
        <v>0.68161843942060329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Fader Plastic</v>
      </c>
      <c r="W7" s="119">
        <v>285000</v>
      </c>
      <c r="X7" s="92" t="str">
        <v>Mercaderia</v>
      </c>
      <c r="Y7" s="82"/>
      <c r="AA7" s="83" t="s">
        <v>97</v>
      </c>
      <c r="AB7" s="100">
        <f>+SUM(AB3:AB6)</f>
        <v>13998386.91</v>
      </c>
      <c r="AD7" s="76">
        <f t="shared" si="3"/>
        <v>46113</v>
      </c>
      <c r="AG7" s="79" t="str">
        <v>mayo</v>
      </c>
      <c r="AH7" s="81">
        <v>13998386.91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REGAPLAS</v>
      </c>
      <c r="W8" s="119">
        <v>396300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46146</v>
      </c>
      <c r="V9" s="1" t="str">
        <v>E-che Rebotado</v>
      </c>
      <c r="W9" s="91">
        <v>280000</v>
      </c>
      <c r="X9" s="92" t="str">
        <v>GVarios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46146</v>
      </c>
      <c r="V10" s="1" t="str">
        <v>NUTHOST - Hosting</v>
      </c>
      <c r="W10" s="91">
        <v>90000</v>
      </c>
      <c r="X10" s="92" t="str">
        <v>GVarios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46149</v>
      </c>
      <c r="V11" s="1" t="str">
        <v>Endosado ALNAT</v>
      </c>
      <c r="W11" s="91">
        <v>919720.09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46155</v>
      </c>
      <c r="V12" s="1" t="str">
        <v>Endosado ALU-MAQ</v>
      </c>
      <c r="W12" s="91">
        <v>564841.93000000005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46155</v>
      </c>
      <c r="V13" s="1" t="str">
        <v>Endosado ALNAT</v>
      </c>
      <c r="W13" s="91">
        <v>1925665.43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46157</v>
      </c>
      <c r="V14" s="1" t="str">
        <v>Endosado ALNAT</v>
      </c>
      <c r="W14" s="91">
        <v>799786.09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46159</v>
      </c>
      <c r="V15" s="1" t="str">
        <v>Endosado ALNAT</v>
      </c>
      <c r="W15" s="91">
        <v>2137195.3600000003</v>
      </c>
      <c r="X15" s="92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46162</v>
      </c>
      <c r="V16" s="1" t="str">
        <v>IVA Mayo/26</v>
      </c>
      <c r="W16" s="91">
        <v>0</v>
      </c>
      <c r="X16" s="92" t="str">
        <v>GVarios</v>
      </c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>
        <v>46169</v>
      </c>
      <c r="V17" s="1" t="str">
        <v>Endosado ALU-MAQ</v>
      </c>
      <c r="W17" s="91">
        <v>919720.09</v>
      </c>
      <c r="X17" s="92" t="str">
        <v>Mercaderia</v>
      </c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P249" s="80">
        <v>46146</v>
      </c>
      <c r="Q249" s="78" t="s">
        <v>298</v>
      </c>
      <c r="R249" s="116"/>
      <c r="S249" s="99">
        <v>90000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P250" s="80">
        <v>46162</v>
      </c>
      <c r="Q250" s="107" t="s">
        <v>300</v>
      </c>
      <c r="R250" s="116"/>
      <c r="S250" s="99"/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K409" s="80">
        <v>46146</v>
      </c>
      <c r="L409" s="78" t="s">
        <v>225</v>
      </c>
      <c r="M409" s="115"/>
      <c r="N409" s="81">
        <f>330000+66300</f>
        <v>396300</v>
      </c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13" priority="5">
      <formula>AND($U3&lt;&gt;"",MOD(ROW()-ROW($U$3),2)=0)</formula>
    </cfRule>
  </conditionalFormatting>
  <conditionalFormatting sqref="Y1:Y1048576">
    <cfRule type="cellIs" dxfId="12" priority="2" operator="equal">
      <formula>0</formula>
    </cfRule>
    <cfRule type="cellIs" dxfId="11" priority="3" operator="greaterThan">
      <formula>0.05</formula>
    </cfRule>
  </conditionalFormatting>
  <dataValidations count="1">
    <dataValidation type="list" allowBlank="1" showInputMessage="1" showErrorMessage="1" sqref="R3:R231 M3:M40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1" width="11.7109375" bestFit="1" customWidth="1"/>
    <col min="2" max="2" width="12.7109375" bestFit="1" customWidth="1"/>
    <col min="3" max="3" width="16.28515625" bestFit="1" customWidth="1"/>
    <col min="5" max="5" width="9" bestFit="1" customWidth="1"/>
    <col min="6" max="6" width="8.5703125" bestFit="1" customWidth="1"/>
    <col min="7" max="7" width="13.285156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3455424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821000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customXml/itemProps4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2026-05-04T22:13:01Z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