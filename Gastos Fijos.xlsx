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24" documentId="13_ncr:1_{F39443B0-11EE-4A85-84B8-BCF3678BA4E9}" xr6:coauthVersionLast="47" xr6:coauthVersionMax="47" xr10:uidLastSave="{F8596B31-74D3-4944-849E-7C1EB7E9C782}"/>
  <bookViews>
    <workbookView xWindow="1103" yWindow="1103" windowWidth="16200" windowHeight="9427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266" i="1" a="1"/>
  <c r="HF308" i="1" a="1"/>
  <c r="HF196" i="1" a="1"/>
  <c r="HF79" i="1" a="1"/>
  <c r="HF116" i="1" a="1"/>
  <c r="HF157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156" i="1" a="1"/>
  <c r="HF30" i="1" a="1"/>
  <c r="HF190" i="1" a="1"/>
  <c r="HF26" i="1" a="1"/>
  <c r="HF24" i="1" a="1"/>
  <c r="HF17" i="1" a="1"/>
  <c r="HF33" i="1" a="1"/>
  <c r="HF11" i="1" a="1"/>
  <c r="HF229" i="1" a="1"/>
  <c r="HF114" i="1" a="1"/>
  <c r="HF191" i="1" a="1"/>
  <c r="HF10" i="1" a="1"/>
  <c r="HF14" i="1" a="1"/>
  <c r="HF9" i="1" a="1"/>
  <c r="HF12" i="1" a="1"/>
  <c r="HF4" i="1" a="1"/>
  <c r="HF78" i="1" a="1"/>
  <c r="HF56" i="1" a="1"/>
  <c r="HF16" i="1" a="1"/>
  <c r="HF228" i="1" a="1"/>
  <c r="HF6" i="1" a="1"/>
  <c r="HF154" i="1" a="1"/>
  <c r="HF18" i="1" a="1"/>
  <c r="HF28" i="1" a="1"/>
  <c r="HF15" i="1" a="1"/>
  <c r="HF29" i="1" a="1"/>
  <c r="HF7" i="1" a="1"/>
  <c r="HF304" i="1" a="1"/>
  <c r="HF77" i="1" a="1"/>
  <c r="HF231" i="1" a="1"/>
  <c r="HF115" i="1" a="1"/>
  <c r="HF27" i="1" a="1"/>
  <c r="HF193" i="1" a="1"/>
  <c r="HF31" i="1" a="1"/>
  <c r="HF232" i="1" a="1"/>
  <c r="HF8" i="1" a="1"/>
  <c r="HF305" i="1" a="1"/>
  <c r="HF34" i="1" a="1"/>
  <c r="HF19" i="1" a="1"/>
  <c r="HF235" i="1" a="1"/>
  <c r="HF195" i="1" a="1"/>
  <c r="HF36" i="1" a="1"/>
  <c r="HF197" i="1" a="1"/>
  <c r="HF155" i="1" a="1"/>
  <c r="HF153" i="1" a="1"/>
  <c r="HF20" i="1" a="1"/>
  <c r="HF233" i="1" a="1"/>
  <c r="HF230" i="1" a="1"/>
  <c r="HF192" i="1" a="1"/>
  <c r="HF307" i="1" a="1"/>
  <c r="HF35" i="1" a="1"/>
  <c r="HF38" i="1" a="1"/>
  <c r="HF13" i="1" a="1"/>
  <c r="HF194" i="1" a="1"/>
  <c r="HF32" i="1" a="1"/>
  <c r="HF23" i="1" a="1"/>
  <c r="HF267" i="1" a="1"/>
  <c r="HF306" i="1" a="1"/>
  <c r="HF152" i="1" a="1"/>
  <c r="HF25" i="1" a="1"/>
  <c r="HF37" i="1" a="1"/>
  <c r="HF21" i="1" a="1"/>
  <c r="HF5" i="1" a="1"/>
  <c r="HF22" i="1" a="1"/>
  <c r="HF158" i="1" a="1"/>
  <c r="HF117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4" i="1" a="1"/>
  <c r="HF53" i="1" a="1"/>
  <c r="HF46" i="1" a="1"/>
  <c r="HF48" i="1" a="1"/>
  <c r="HF236" i="1" a="1"/>
  <c r="HF47" i="1" a="1"/>
  <c r="HF49" i="1" a="1"/>
  <c r="HF198" i="1" a="1"/>
  <c r="HF55" i="1" a="1"/>
  <c r="HF42" i="1" a="1"/>
  <c r="HF159" i="1" a="1"/>
  <c r="HF81" i="1" a="1"/>
  <c r="HF43" i="1" a="1"/>
  <c r="HF54" i="1" a="1"/>
  <c r="HF52" i="1" a="1"/>
  <c r="HF45" i="1" a="1"/>
  <c r="HF41" i="1" a="1"/>
  <c r="HF50" i="1" a="1"/>
  <c r="HF118" i="1" a="1"/>
  <c r="HF51" i="1" a="1"/>
  <c r="HF310" i="1" a="1"/>
  <c r="HF5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119" i="1" a="1"/>
  <c r="HF57" i="1" a="1"/>
  <c r="HF269" i="1" a="1"/>
  <c r="HF59" i="1" a="1"/>
  <c r="HF82" i="1" a="1"/>
  <c r="HF237" i="1" a="1"/>
  <c r="HF311" i="1" a="1"/>
  <c r="HF160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238" i="1" a="1"/>
  <c r="HF60" i="1" a="1"/>
  <c r="HF200" i="1" a="1"/>
  <c r="HF270" i="1" a="1"/>
  <c r="HF120" i="1" a="1"/>
  <c r="HF83" i="1" a="1"/>
  <c r="HF161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313" i="1" a="1"/>
  <c r="HF121" i="1" a="1"/>
  <c r="HF84" i="1" a="1"/>
  <c r="HF162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314" i="1" a="1"/>
  <c r="HF272" i="1" a="1"/>
  <c r="HF122" i="1" a="1"/>
  <c r="HF85" i="1" a="1"/>
  <c r="HF240" i="1" a="1"/>
  <c r="HF202" i="1" a="1"/>
  <c r="HF163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64" i="1" a="1"/>
  <c r="HF203" i="1" a="1"/>
  <c r="HF241" i="1" a="1"/>
  <c r="HF86" i="1" a="1"/>
  <c r="HF123" i="1" a="1"/>
  <c r="HF315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42" i="1" a="1"/>
  <c r="HF64" i="1" a="1"/>
  <c r="HF87" i="1" a="1"/>
  <c r="HF204" i="1" a="1"/>
  <c r="HF274" i="1" a="1"/>
  <c r="HF124" i="1" a="1"/>
  <c r="HF316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125" i="1" a="1"/>
  <c r="HF88" i="1" a="1"/>
  <c r="HF205" i="1" a="1"/>
  <c r="HF317" i="1" a="1"/>
  <c r="HF243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89" i="1" a="1"/>
  <c r="HF276" i="1" a="1"/>
  <c r="HF318" i="1" a="1"/>
  <c r="HF167" i="1" a="1"/>
  <c r="HF244" i="1" a="1"/>
  <c r="HF126" i="1" a="1"/>
  <c r="HF206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27" i="1" a="1"/>
  <c r="HF168" i="1" a="1"/>
  <c r="HF207" i="1" a="1"/>
  <c r="HF277" i="1" a="1"/>
  <c r="HF245" i="1" a="1"/>
  <c r="HF319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08" i="1" a="1"/>
  <c r="HF128" i="1" a="1"/>
  <c r="HF278" i="1" a="1"/>
  <c r="HF91" i="1" a="1"/>
  <c r="HF169" i="1" a="1"/>
  <c r="HF246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129" i="1" a="1"/>
  <c r="HF69" i="1" a="1"/>
  <c r="HF92" i="1" a="1"/>
  <c r="HF279" i="1" a="1"/>
  <c r="HF247" i="1" a="1"/>
  <c r="HF209" i="1" a="1"/>
  <c r="HF321" i="1" a="1"/>
  <c r="HF170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280" i="1" a="1"/>
  <c r="HF322" i="1" a="1"/>
  <c r="HF130" i="1" a="1"/>
  <c r="HF210" i="1" a="1"/>
  <c r="HF248" i="1" a="1"/>
  <c r="HF93" i="1" a="1"/>
  <c r="HF171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94" i="1" a="1"/>
  <c r="HF71" i="1" a="1"/>
  <c r="HF131" i="1" a="1"/>
  <c r="HF281" i="1" a="1"/>
  <c r="HF172" i="1" a="1"/>
  <c r="HF211" i="1" a="1"/>
  <c r="HF249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82" i="1" a="1"/>
  <c r="HF95" i="1" a="1"/>
  <c r="HF212" i="1" a="1"/>
  <c r="HF173" i="1" a="1"/>
  <c r="HF250" i="1" a="1"/>
  <c r="HF13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213" i="1" a="1"/>
  <c r="HF96" i="1" a="1"/>
  <c r="HF174" i="1" a="1"/>
  <c r="HF13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75" i="1" a="1"/>
  <c r="HF134" i="1" a="1"/>
  <c r="HF97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98" i="1" a="1"/>
  <c r="HF252" i="1" a="1"/>
  <c r="HF135" i="1" a="1"/>
  <c r="HF285" i="1" a="1"/>
  <c r="HF214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99" i="1" a="1"/>
  <c r="HF253" i="1" a="1"/>
  <c r="HF136" i="1" a="1"/>
  <c r="HF176" i="1" a="1"/>
  <c r="HF215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37" i="1" a="1"/>
  <c r="HF254" i="1" a="1"/>
  <c r="HF177" i="1" a="1"/>
  <c r="HF216" i="1" a="1"/>
  <c r="HF100" i="1" a="1"/>
  <c r="HF287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55" i="1" a="1"/>
  <c r="HF101" i="1" a="1"/>
  <c r="HF288" i="1" a="1"/>
  <c r="HF217" i="1" a="1"/>
  <c r="HF178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218" i="1" a="1"/>
  <c r="HF138" i="1" a="1"/>
  <c r="HF179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03" i="1" a="1"/>
  <c r="HF13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<sst xmlns="http://schemas.openxmlformats.org/spreadsheetml/2006/main" count="1631" uniqueCount="297">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</sst>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4" totalsRowShown="0" headerRowDxfId="32" dataDxfId="30" headerRowBorderDxfId="31" tableBorderDxfId="29">
  <autoFilter ref="K2:N404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7" totalsRowShown="0" headerRowDxfId="24" dataDxfId="22" headerRowBorderDxfId="23" tableBorderDxfId="21">
  <autoFilter ref="P2:S247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D1" zoomScaleNormal="100" workbookViewId="0">
      <pane ySplit="3" topLeftCell="A4" activePane="bottomLeft" state="frozen"/>
      <selection pane="bottomLeft" activeCell="AR7" sqref="AR7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4.25" thickBot="1" x14ac:dyDescent="0.45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1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3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4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5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6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7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7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7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7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7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11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12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13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13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13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15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16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17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19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21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24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65" thickBot="1" x14ac:dyDescent="0.5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35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35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U1" zoomScaleNormal="100" workbookViewId="0">
      <pane ySplit="2" topLeftCell="A3" activePane="bottomLeft" state="frozen"/>
      <selection pane="bottomLeft" activeCell="AE11" sqref="AE11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3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9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0.3446085289588558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0.3446085289588558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631404.27</v>
      </c>
      <c r="AC4" s="98">
        <f t="shared" si="2"/>
        <v>6.3913101500588709E-2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5843277.1899999995</v>
      </c>
      <c r="AC5" s="98">
        <f t="shared" si="2"/>
        <v>0.59147836954055555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46149</v>
      </c>
      <c r="V6" s="1" t="str">
        <v>Endosado ALNAT</v>
      </c>
      <c r="W6" s="4">
        <v>919720.09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46155</v>
      </c>
      <c r="V7" s="1" t="str">
        <v>Endosado ALU-MAQ</v>
      </c>
      <c r="W7" s="119">
        <v>564841.93000000005</v>
      </c>
      <c r="X7" s="92" t="str">
        <v>Mercaderia</v>
      </c>
      <c r="Y7" s="82"/>
      <c r="AA7" s="83" t="s">
        <v>97</v>
      </c>
      <c r="AB7" s="100">
        <f>+SUM(AB3:AB6)</f>
        <v>9879105.459999999</v>
      </c>
      <c r="AD7" s="76">
        <f t="shared" si="3"/>
        <v>46113</v>
      </c>
      <c r="AG7" s="79" t="str">
        <v>mayo</v>
      </c>
      <c r="AH7" s="81">
        <v>9879105.459999999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46155</v>
      </c>
      <c r="V8" s="1" t="str">
        <v>Endosado ALNAT</v>
      </c>
      <c r="W8" s="119">
        <v>1925665.43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46169</v>
      </c>
      <c r="V9" s="1" t="str">
        <v>Endosado ALU-MAQ</v>
      </c>
      <c r="W9" s="91">
        <v>919720.09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/>
      <c r="W10" s="91"/>
      <c r="X10" s="92"/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/>
      <c r="W11" s="91"/>
      <c r="X11" s="92"/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/>
      <c r="W12" s="91"/>
      <c r="X12" s="92"/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/>
      <c r="W13" s="91"/>
      <c r="X13" s="92"/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/>
      <c r="W14" s="91"/>
      <c r="X14" s="92"/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/>
      <c r="W15" s="91"/>
      <c r="X15" s="92"/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/>
      <c r="W16" s="91"/>
      <c r="X16" s="92"/>
      <c r="Y16" s="82"/>
      <c r="AB16" s="101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3.9" x14ac:dyDescent="0.4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3.9" x14ac:dyDescent="0.4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3.9" x14ac:dyDescent="0.4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3.9" x14ac:dyDescent="0.4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3.9" x14ac:dyDescent="0.4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3.9" x14ac:dyDescent="0.4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3.9" x14ac:dyDescent="0.4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3.9" x14ac:dyDescent="0.4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3.9" x14ac:dyDescent="0.4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3.9" x14ac:dyDescent="0.4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3.9" x14ac:dyDescent="0.4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3.9" x14ac:dyDescent="0.4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3.9" x14ac:dyDescent="0.4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3.9" x14ac:dyDescent="0.4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3.9" x14ac:dyDescent="0.4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3.9" x14ac:dyDescent="0.4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3.9" x14ac:dyDescent="0.4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3.9" x14ac:dyDescent="0.4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3.9" x14ac:dyDescent="0.4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3.9" x14ac:dyDescent="0.4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3.9" x14ac:dyDescent="0.4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3.9" x14ac:dyDescent="0.4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3.9" x14ac:dyDescent="0.4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3.9" x14ac:dyDescent="0.4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3.9" x14ac:dyDescent="0.4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3.9" x14ac:dyDescent="0.4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3.9" x14ac:dyDescent="0.4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4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4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4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4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4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4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4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4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4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4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4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4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4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4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4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4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4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4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4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4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4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4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4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4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4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4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4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4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4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4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4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5">
      <c r="K248" s="80">
        <v>46093</v>
      </c>
      <c r="L248" s="78" t="s">
        <v>149</v>
      </c>
      <c r="M248" s="115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5">
      <c r="X405" s="3"/>
    </row>
    <row r="406" spans="11:24" ht="14.25" customHeight="1" x14ac:dyDescent="0.5">
      <c r="N406" s="101"/>
      <c r="X406" s="3"/>
    </row>
    <row r="407" spans="11:24" ht="14.25" customHeight="1" x14ac:dyDescent="0.5">
      <c r="N407" s="101"/>
      <c r="X407" s="3"/>
    </row>
    <row r="408" spans="11:24" ht="14.25" customHeight="1" x14ac:dyDescent="0.5">
      <c r="X408" s="3"/>
    </row>
    <row r="409" spans="11:24" ht="14.25" customHeight="1" x14ac:dyDescent="0.5">
      <c r="N409" s="101"/>
      <c r="X409" s="3"/>
    </row>
    <row r="410" spans="11:24" ht="14.25" customHeight="1" x14ac:dyDescent="0.5">
      <c r="X410" s="3"/>
    </row>
    <row r="411" spans="11:24" ht="14.25" customHeight="1" x14ac:dyDescent="0.5">
      <c r="N411" s="101"/>
      <c r="X411" s="3"/>
    </row>
    <row r="412" spans="11:24" ht="14.25" customHeight="1" x14ac:dyDescent="0.5">
      <c r="N412" s="101"/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4.25" x14ac:dyDescent="0.45"/>
  <cols>
    <col min="1" max="3" width="11.3984375" bestFit="1" customWidth="1"/>
    <col min="5" max="5" width="9" bestFit="1" customWidth="1"/>
    <col min="6" max="6" width="8.59765625" bestFit="1" customWidth="1"/>
    <col min="7" max="7" width="11.3984375" bestFit="1" customWidth="1"/>
  </cols>
  <sheetData>
    <row r="1" spans="1:7" ht="14.65" thickBot="1" x14ac:dyDescent="0.5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4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4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4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4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4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4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4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4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4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4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4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4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4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4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4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4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4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4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4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4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4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4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4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4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4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45">
      <c r="A29" s="154">
        <v>45989</v>
      </c>
      <c r="B29" s="1" t="s">
        <v>84</v>
      </c>
      <c r="C29" s="87">
        <v>320000</v>
      </c>
    </row>
    <row r="30" spans="1:7" x14ac:dyDescent="0.45">
      <c r="A30" s="154">
        <v>45989</v>
      </c>
      <c r="B30" s="1" t="s">
        <v>84</v>
      </c>
      <c r="C30" s="87">
        <v>252500</v>
      </c>
    </row>
    <row r="31" spans="1:7" x14ac:dyDescent="0.45">
      <c r="A31" s="154">
        <v>45989</v>
      </c>
      <c r="B31" s="1" t="s">
        <v>84</v>
      </c>
      <c r="C31" s="87">
        <v>180000</v>
      </c>
    </row>
    <row r="32" spans="1:7" x14ac:dyDescent="0.45">
      <c r="A32" s="154">
        <v>45989</v>
      </c>
      <c r="B32" s="1" t="s">
        <v>84</v>
      </c>
      <c r="C32" s="87">
        <v>575000</v>
      </c>
    </row>
    <row r="33" spans="1:3" x14ac:dyDescent="0.45">
      <c r="A33" s="154">
        <v>45996</v>
      </c>
      <c r="B33" s="1" t="s">
        <v>84</v>
      </c>
      <c r="C33" s="87">
        <v>1500000</v>
      </c>
    </row>
    <row r="34" spans="1:3" x14ac:dyDescent="0.45">
      <c r="A34" s="154">
        <v>45996</v>
      </c>
      <c r="B34" s="1" t="s">
        <v>84</v>
      </c>
      <c r="C34" s="87">
        <v>204000</v>
      </c>
    </row>
    <row r="35" spans="1:3" x14ac:dyDescent="0.45">
      <c r="A35" s="154">
        <v>45996</v>
      </c>
      <c r="B35" s="1" t="s">
        <v>84</v>
      </c>
      <c r="C35" s="87">
        <v>287500</v>
      </c>
    </row>
    <row r="36" spans="1:3" x14ac:dyDescent="0.45">
      <c r="A36" s="154">
        <v>45996</v>
      </c>
      <c r="B36" s="1" t="s">
        <v>84</v>
      </c>
      <c r="C36" s="87">
        <v>280000</v>
      </c>
    </row>
    <row r="37" spans="1:3" x14ac:dyDescent="0.45">
      <c r="A37" s="154">
        <v>45996</v>
      </c>
      <c r="B37" s="1" t="s">
        <v>84</v>
      </c>
      <c r="C37" s="87">
        <v>180000</v>
      </c>
    </row>
    <row r="38" spans="1:3" x14ac:dyDescent="0.45">
      <c r="A38" s="154">
        <v>45996</v>
      </c>
      <c r="B38" s="1" t="s">
        <v>84</v>
      </c>
      <c r="C38" s="87">
        <v>287375</v>
      </c>
    </row>
    <row r="39" spans="1:3" x14ac:dyDescent="0.45">
      <c r="A39" s="154">
        <v>46003</v>
      </c>
      <c r="B39" s="1" t="s">
        <v>84</v>
      </c>
      <c r="C39" s="87">
        <v>280000</v>
      </c>
    </row>
    <row r="40" spans="1:3" x14ac:dyDescent="0.45">
      <c r="A40" s="154">
        <v>46003</v>
      </c>
      <c r="B40" s="1" t="s">
        <v>84</v>
      </c>
      <c r="C40" s="87">
        <v>200000</v>
      </c>
    </row>
    <row r="41" spans="1:3" x14ac:dyDescent="0.45">
      <c r="A41" s="154">
        <v>46003</v>
      </c>
      <c r="B41" s="1" t="s">
        <v>84</v>
      </c>
      <c r="C41" s="87">
        <v>662379</v>
      </c>
    </row>
    <row r="42" spans="1:3" x14ac:dyDescent="0.45">
      <c r="A42" s="154">
        <v>46003</v>
      </c>
      <c r="B42" s="1" t="s">
        <v>84</v>
      </c>
      <c r="C42" s="87">
        <v>386594</v>
      </c>
    </row>
    <row r="43" spans="1:3" x14ac:dyDescent="0.45">
      <c r="A43" s="154">
        <v>46003</v>
      </c>
      <c r="B43" s="1" t="s">
        <v>84</v>
      </c>
      <c r="C43" s="87">
        <v>792500</v>
      </c>
    </row>
    <row r="44" spans="1:3" x14ac:dyDescent="0.45">
      <c r="A44" s="154">
        <v>46003</v>
      </c>
      <c r="B44" s="1" t="s">
        <v>84</v>
      </c>
      <c r="C44" s="87">
        <v>180000</v>
      </c>
    </row>
    <row r="45" spans="1:3" x14ac:dyDescent="0.45">
      <c r="A45" s="154">
        <v>46003</v>
      </c>
      <c r="B45" s="1" t="s">
        <v>84</v>
      </c>
      <c r="C45" s="87">
        <v>575000</v>
      </c>
    </row>
    <row r="46" spans="1:3" x14ac:dyDescent="0.45">
      <c r="A46" s="154">
        <v>46010</v>
      </c>
      <c r="B46" s="1" t="s">
        <v>84</v>
      </c>
      <c r="C46" s="87">
        <v>174000</v>
      </c>
    </row>
    <row r="47" spans="1:3" x14ac:dyDescent="0.45">
      <c r="A47" s="154">
        <v>46010</v>
      </c>
      <c r="B47" s="1" t="s">
        <v>84</v>
      </c>
      <c r="C47" s="87">
        <v>750000</v>
      </c>
    </row>
    <row r="48" spans="1:3" x14ac:dyDescent="0.45">
      <c r="A48" s="154">
        <v>46010</v>
      </c>
      <c r="B48" s="1" t="s">
        <v>84</v>
      </c>
      <c r="C48" s="87">
        <v>232330</v>
      </c>
    </row>
    <row r="49" spans="1:3" x14ac:dyDescent="0.45">
      <c r="A49" s="154">
        <v>46010</v>
      </c>
      <c r="B49" s="1" t="s">
        <v>84</v>
      </c>
      <c r="C49" s="87">
        <v>649999.99</v>
      </c>
    </row>
    <row r="50" spans="1:3" x14ac:dyDescent="0.45">
      <c r="A50" s="154">
        <v>46010</v>
      </c>
      <c r="B50" s="1" t="s">
        <v>84</v>
      </c>
      <c r="C50" s="87">
        <v>180000</v>
      </c>
    </row>
    <row r="51" spans="1:3" x14ac:dyDescent="0.45">
      <c r="A51" s="154">
        <v>46010</v>
      </c>
      <c r="B51" s="1" t="s">
        <v>84</v>
      </c>
      <c r="C51" s="87">
        <v>895469</v>
      </c>
    </row>
    <row r="52" spans="1:3" x14ac:dyDescent="0.45">
      <c r="A52" s="154">
        <v>46017</v>
      </c>
      <c r="B52" s="1" t="s">
        <v>84</v>
      </c>
      <c r="C52" s="87">
        <v>315000</v>
      </c>
    </row>
    <row r="53" spans="1:3" x14ac:dyDescent="0.45">
      <c r="A53" s="154">
        <v>46017</v>
      </c>
      <c r="B53" s="1" t="s">
        <v>84</v>
      </c>
      <c r="C53" s="87">
        <v>840000</v>
      </c>
    </row>
    <row r="54" spans="1:3" x14ac:dyDescent="0.45">
      <c r="A54" s="154">
        <v>46017</v>
      </c>
      <c r="B54" s="1" t="s">
        <v>84</v>
      </c>
      <c r="C54" s="87">
        <v>130000</v>
      </c>
    </row>
    <row r="55" spans="1:3" x14ac:dyDescent="0.45">
      <c r="A55" s="154">
        <v>46017</v>
      </c>
      <c r="B55" s="1" t="s">
        <v>84</v>
      </c>
      <c r="C55" s="87">
        <v>664500</v>
      </c>
    </row>
    <row r="56" spans="1:3" x14ac:dyDescent="0.45">
      <c r="A56" s="154">
        <v>46017</v>
      </c>
      <c r="B56" s="1" t="s">
        <v>84</v>
      </c>
      <c r="C56" s="87">
        <v>288750</v>
      </c>
    </row>
    <row r="57" spans="1:3" x14ac:dyDescent="0.45">
      <c r="A57" s="154">
        <v>46017</v>
      </c>
      <c r="B57" s="1" t="s">
        <v>84</v>
      </c>
      <c r="C57" s="87">
        <v>90000</v>
      </c>
    </row>
    <row r="58" spans="1:3" x14ac:dyDescent="0.45">
      <c r="A58" s="154">
        <v>46017</v>
      </c>
      <c r="B58" s="1" t="s">
        <v>84</v>
      </c>
      <c r="C58" s="87">
        <v>150000</v>
      </c>
    </row>
    <row r="59" spans="1:3" x14ac:dyDescent="0.45">
      <c r="A59" s="154">
        <v>46024</v>
      </c>
      <c r="B59" s="1" t="s">
        <v>84</v>
      </c>
      <c r="C59" s="87">
        <v>300000</v>
      </c>
    </row>
    <row r="60" spans="1:3" x14ac:dyDescent="0.45">
      <c r="A60" s="154">
        <v>46024</v>
      </c>
      <c r="B60" s="1" t="s">
        <v>84</v>
      </c>
      <c r="C60" s="87">
        <v>125000</v>
      </c>
    </row>
    <row r="61" spans="1:3" x14ac:dyDescent="0.45">
      <c r="A61" s="154">
        <v>46024</v>
      </c>
      <c r="B61" s="1" t="s">
        <v>84</v>
      </c>
      <c r="C61" s="87">
        <v>280000</v>
      </c>
    </row>
    <row r="62" spans="1:3" x14ac:dyDescent="0.45">
      <c r="A62" s="154">
        <v>46024</v>
      </c>
      <c r="B62" s="1" t="s">
        <v>84</v>
      </c>
      <c r="C62" s="87">
        <v>285828</v>
      </c>
    </row>
    <row r="63" spans="1:3" x14ac:dyDescent="0.45">
      <c r="A63" s="154">
        <v>46031</v>
      </c>
      <c r="B63" s="1" t="s">
        <v>84</v>
      </c>
      <c r="C63" s="87">
        <v>300000</v>
      </c>
    </row>
    <row r="64" spans="1:3" x14ac:dyDescent="0.45">
      <c r="A64" s="154">
        <v>46031</v>
      </c>
      <c r="B64" s="1" t="s">
        <v>84</v>
      </c>
      <c r="C64" s="87">
        <v>280000</v>
      </c>
    </row>
    <row r="65" spans="1:3" x14ac:dyDescent="0.45">
      <c r="A65" s="154">
        <v>46031</v>
      </c>
      <c r="B65" s="1" t="s">
        <v>84</v>
      </c>
      <c r="C65" s="87">
        <v>163000</v>
      </c>
    </row>
    <row r="66" spans="1:3" x14ac:dyDescent="0.45">
      <c r="A66" s="154">
        <v>46031</v>
      </c>
      <c r="B66" s="1" t="s">
        <v>84</v>
      </c>
      <c r="C66" s="87">
        <v>728390.625</v>
      </c>
    </row>
    <row r="67" spans="1:3" x14ac:dyDescent="0.45">
      <c r="A67" s="154">
        <v>46031</v>
      </c>
      <c r="B67" s="1" t="s">
        <v>84</v>
      </c>
      <c r="C67" s="87">
        <v>274856</v>
      </c>
    </row>
    <row r="68" spans="1:3" x14ac:dyDescent="0.45">
      <c r="A68" s="154">
        <v>46031</v>
      </c>
      <c r="B68" s="1" t="s">
        <v>84</v>
      </c>
      <c r="C68" s="87">
        <v>250000</v>
      </c>
    </row>
    <row r="69" spans="1:3" x14ac:dyDescent="0.45">
      <c r="A69" s="154">
        <v>46031</v>
      </c>
      <c r="B69" s="1" t="s">
        <v>84</v>
      </c>
      <c r="C69" s="87">
        <v>180000</v>
      </c>
    </row>
    <row r="70" spans="1:3" x14ac:dyDescent="0.45">
      <c r="A70" s="154">
        <v>46031</v>
      </c>
      <c r="B70" s="1" t="s">
        <v>84</v>
      </c>
      <c r="C70" s="87">
        <v>160000</v>
      </c>
    </row>
    <row r="71" spans="1:3" x14ac:dyDescent="0.45">
      <c r="A71" s="154">
        <v>46031</v>
      </c>
      <c r="B71" s="1" t="s">
        <v>84</v>
      </c>
      <c r="C71" s="87">
        <v>725000</v>
      </c>
    </row>
    <row r="72" spans="1:3" x14ac:dyDescent="0.45">
      <c r="A72" s="154">
        <v>46038</v>
      </c>
      <c r="B72" s="1" t="s">
        <v>84</v>
      </c>
      <c r="C72" s="87">
        <v>300000</v>
      </c>
    </row>
    <row r="73" spans="1:3" x14ac:dyDescent="0.45">
      <c r="A73" s="154">
        <v>46038</v>
      </c>
      <c r="B73" s="1" t="s">
        <v>84</v>
      </c>
      <c r="C73" s="87">
        <v>178000</v>
      </c>
    </row>
    <row r="74" spans="1:3" x14ac:dyDescent="0.45">
      <c r="A74" s="154">
        <v>46038</v>
      </c>
      <c r="B74" s="1" t="s">
        <v>84</v>
      </c>
      <c r="C74" s="87">
        <v>250000</v>
      </c>
    </row>
    <row r="75" spans="1:3" x14ac:dyDescent="0.45">
      <c r="A75" s="154">
        <v>46038</v>
      </c>
      <c r="B75" s="1" t="s">
        <v>84</v>
      </c>
      <c r="C75" s="87">
        <v>280048</v>
      </c>
    </row>
    <row r="76" spans="1:3" x14ac:dyDescent="0.45">
      <c r="A76" s="154">
        <v>46038</v>
      </c>
      <c r="B76" s="1" t="s">
        <v>84</v>
      </c>
      <c r="C76" s="87">
        <v>180000</v>
      </c>
    </row>
    <row r="77" spans="1:3" x14ac:dyDescent="0.45">
      <c r="A77" s="154">
        <v>46038</v>
      </c>
      <c r="B77" s="1" t="s">
        <v>84</v>
      </c>
      <c r="C77" s="87">
        <v>220000</v>
      </c>
    </row>
    <row r="78" spans="1:3" x14ac:dyDescent="0.45">
      <c r="A78" s="154">
        <v>46038</v>
      </c>
      <c r="B78" s="1" t="s">
        <v>84</v>
      </c>
      <c r="C78" s="87">
        <v>308000</v>
      </c>
    </row>
    <row r="79" spans="1:3" x14ac:dyDescent="0.45">
      <c r="A79" s="154">
        <v>46045</v>
      </c>
      <c r="B79" s="1" t="s">
        <v>84</v>
      </c>
      <c r="C79" s="87">
        <v>300000.21999999997</v>
      </c>
    </row>
    <row r="80" spans="1:3" x14ac:dyDescent="0.45">
      <c r="A80" s="154">
        <v>46045</v>
      </c>
      <c r="B80" s="1" t="s">
        <v>84</v>
      </c>
      <c r="C80" s="87">
        <v>280000</v>
      </c>
    </row>
    <row r="81" spans="1:3" x14ac:dyDescent="0.45">
      <c r="A81" s="154">
        <v>46045</v>
      </c>
      <c r="B81" s="1" t="s">
        <v>84</v>
      </c>
      <c r="C81" s="87">
        <v>202000</v>
      </c>
    </row>
    <row r="82" spans="1:3" x14ac:dyDescent="0.45">
      <c r="A82" s="154">
        <v>46045</v>
      </c>
      <c r="B82" s="1" t="s">
        <v>84</v>
      </c>
      <c r="C82" s="87">
        <v>649990</v>
      </c>
    </row>
    <row r="83" spans="1:3" x14ac:dyDescent="0.45">
      <c r="A83" s="154">
        <v>46045</v>
      </c>
      <c r="B83" s="1" t="s">
        <v>84</v>
      </c>
      <c r="C83" s="87">
        <v>330000</v>
      </c>
    </row>
    <row r="84" spans="1:3" x14ac:dyDescent="0.45">
      <c r="A84" s="154">
        <v>46045</v>
      </c>
      <c r="B84" s="1" t="s">
        <v>84</v>
      </c>
      <c r="C84" s="87">
        <v>250000</v>
      </c>
    </row>
    <row r="85" spans="1:3" x14ac:dyDescent="0.45">
      <c r="A85" s="154">
        <v>46045</v>
      </c>
      <c r="B85" s="1" t="s">
        <v>84</v>
      </c>
      <c r="C85" s="87">
        <v>270000</v>
      </c>
    </row>
    <row r="86" spans="1:3" x14ac:dyDescent="0.45">
      <c r="A86" s="154">
        <v>46045</v>
      </c>
      <c r="B86" s="1" t="s">
        <v>84</v>
      </c>
      <c r="C86" s="87">
        <v>200000</v>
      </c>
    </row>
    <row r="87" spans="1:3" x14ac:dyDescent="0.45">
      <c r="A87" s="154">
        <v>46045</v>
      </c>
      <c r="B87" s="1" t="s">
        <v>84</v>
      </c>
      <c r="C87" s="87">
        <v>425000</v>
      </c>
    </row>
    <row r="88" spans="1:3" x14ac:dyDescent="0.45">
      <c r="A88" s="154">
        <v>46052</v>
      </c>
      <c r="B88" s="1" t="s">
        <v>84</v>
      </c>
      <c r="C88" s="87">
        <v>429938</v>
      </c>
    </row>
    <row r="89" spans="1:3" x14ac:dyDescent="0.45">
      <c r="A89" s="154">
        <v>46052</v>
      </c>
      <c r="B89" s="1" t="s">
        <v>84</v>
      </c>
      <c r="C89" s="87">
        <v>189000</v>
      </c>
    </row>
    <row r="90" spans="1:3" x14ac:dyDescent="0.45">
      <c r="A90" s="154">
        <v>46052</v>
      </c>
      <c r="B90" s="1" t="s">
        <v>84</v>
      </c>
      <c r="C90" s="87">
        <v>350000</v>
      </c>
    </row>
    <row r="91" spans="1:3" x14ac:dyDescent="0.45">
      <c r="A91" s="154">
        <v>46052</v>
      </c>
      <c r="B91" s="1" t="s">
        <v>84</v>
      </c>
      <c r="C91" s="87">
        <v>840000</v>
      </c>
    </row>
    <row r="92" spans="1:3" x14ac:dyDescent="0.45">
      <c r="A92" s="154">
        <v>46052</v>
      </c>
      <c r="B92" s="1" t="s">
        <v>84</v>
      </c>
      <c r="C92" s="87">
        <v>290000</v>
      </c>
    </row>
    <row r="93" spans="1:3" x14ac:dyDescent="0.45">
      <c r="A93" s="154">
        <v>46052</v>
      </c>
      <c r="B93" s="1" t="s">
        <v>84</v>
      </c>
      <c r="C93" s="87">
        <v>200000</v>
      </c>
    </row>
    <row r="94" spans="1:3" x14ac:dyDescent="0.45">
      <c r="A94" s="154">
        <v>46052</v>
      </c>
      <c r="B94" s="1" t="s">
        <v>84</v>
      </c>
      <c r="C94" s="87">
        <v>499744</v>
      </c>
    </row>
    <row r="95" spans="1:3" x14ac:dyDescent="0.45">
      <c r="A95" s="154">
        <v>46059</v>
      </c>
      <c r="B95" s="1" t="s">
        <v>84</v>
      </c>
      <c r="C95" s="87">
        <v>300000</v>
      </c>
    </row>
    <row r="96" spans="1:3" x14ac:dyDescent="0.45">
      <c r="A96" s="154">
        <v>46059</v>
      </c>
      <c r="B96" s="1" t="s">
        <v>84</v>
      </c>
      <c r="C96" s="87">
        <v>189000</v>
      </c>
    </row>
    <row r="97" spans="1:3" x14ac:dyDescent="0.45">
      <c r="A97" s="154">
        <v>46059</v>
      </c>
      <c r="B97" s="1" t="s">
        <v>84</v>
      </c>
      <c r="C97" s="87">
        <v>746483</v>
      </c>
    </row>
    <row r="98" spans="1:3" x14ac:dyDescent="0.45">
      <c r="A98" s="154">
        <v>46059</v>
      </c>
      <c r="B98" s="1" t="s">
        <v>84</v>
      </c>
      <c r="C98" s="87">
        <v>330000</v>
      </c>
    </row>
    <row r="99" spans="1:3" x14ac:dyDescent="0.45">
      <c r="A99" s="154">
        <v>46059</v>
      </c>
      <c r="B99" s="1" t="s">
        <v>84</v>
      </c>
      <c r="C99" s="87">
        <v>340000</v>
      </c>
    </row>
    <row r="100" spans="1:3" x14ac:dyDescent="0.45">
      <c r="A100" s="154">
        <v>46059</v>
      </c>
      <c r="B100" s="1" t="s">
        <v>84</v>
      </c>
      <c r="C100" s="87">
        <v>180000</v>
      </c>
    </row>
    <row r="101" spans="1:3" x14ac:dyDescent="0.45">
      <c r="A101" s="154">
        <v>46059</v>
      </c>
      <c r="B101" s="1" t="s">
        <v>84</v>
      </c>
      <c r="C101" s="87">
        <v>160000</v>
      </c>
    </row>
    <row r="102" spans="1:3" x14ac:dyDescent="0.45">
      <c r="A102" s="154">
        <v>46059</v>
      </c>
      <c r="B102" s="1" t="s">
        <v>84</v>
      </c>
      <c r="C102" s="87">
        <v>750000</v>
      </c>
    </row>
    <row r="103" spans="1:3" x14ac:dyDescent="0.45">
      <c r="A103" s="154">
        <v>46066</v>
      </c>
      <c r="B103" s="1" t="s">
        <v>84</v>
      </c>
      <c r="C103" s="87">
        <v>300000</v>
      </c>
    </row>
    <row r="104" spans="1:3" x14ac:dyDescent="0.45">
      <c r="A104" s="154">
        <v>46066</v>
      </c>
      <c r="B104" s="1" t="s">
        <v>84</v>
      </c>
      <c r="C104" s="87">
        <v>262000</v>
      </c>
    </row>
    <row r="105" spans="1:3" x14ac:dyDescent="0.45">
      <c r="A105" s="154">
        <v>46066</v>
      </c>
      <c r="B105" s="1" t="s">
        <v>84</v>
      </c>
      <c r="C105" s="87">
        <v>290000</v>
      </c>
    </row>
    <row r="106" spans="1:3" x14ac:dyDescent="0.45">
      <c r="A106" s="154">
        <v>46066</v>
      </c>
      <c r="B106" s="1" t="s">
        <v>84</v>
      </c>
      <c r="C106" s="87">
        <v>80000</v>
      </c>
    </row>
    <row r="107" spans="1:3" x14ac:dyDescent="0.45">
      <c r="A107" s="154">
        <v>46066</v>
      </c>
      <c r="B107" s="1" t="s">
        <v>84</v>
      </c>
      <c r="C107" s="87">
        <v>200000</v>
      </c>
    </row>
    <row r="108" spans="1:3" x14ac:dyDescent="0.45">
      <c r="A108" s="154">
        <v>46066</v>
      </c>
      <c r="B108" s="1" t="s">
        <v>84</v>
      </c>
      <c r="C108" s="87">
        <v>975000</v>
      </c>
    </row>
    <row r="109" spans="1:3" x14ac:dyDescent="0.45">
      <c r="A109" s="154">
        <v>46066</v>
      </c>
      <c r="B109" s="1" t="s">
        <v>84</v>
      </c>
      <c r="C109" s="87">
        <v>330000</v>
      </c>
    </row>
    <row r="110" spans="1:3" x14ac:dyDescent="0.45">
      <c r="A110" s="154">
        <v>46073</v>
      </c>
      <c r="B110" s="1" t="s">
        <v>84</v>
      </c>
      <c r="C110" s="87">
        <v>345000</v>
      </c>
    </row>
    <row r="111" spans="1:3" x14ac:dyDescent="0.45">
      <c r="A111" s="154">
        <v>46073</v>
      </c>
      <c r="B111" s="1" t="s">
        <v>84</v>
      </c>
      <c r="C111" s="87">
        <v>280000</v>
      </c>
    </row>
    <row r="112" spans="1:3" x14ac:dyDescent="0.45">
      <c r="A112" s="154">
        <v>46073</v>
      </c>
      <c r="B112" s="1" t="s">
        <v>84</v>
      </c>
      <c r="C112" s="87">
        <v>123000</v>
      </c>
    </row>
    <row r="113" spans="1:3" x14ac:dyDescent="0.45">
      <c r="A113" s="154">
        <v>46073</v>
      </c>
      <c r="B113" s="1" t="s">
        <v>84</v>
      </c>
      <c r="C113" s="87">
        <v>330000</v>
      </c>
    </row>
    <row r="114" spans="1:3" x14ac:dyDescent="0.45">
      <c r="A114" s="154">
        <v>46073</v>
      </c>
      <c r="B114" s="1" t="s">
        <v>84</v>
      </c>
      <c r="C114" s="87">
        <v>295000</v>
      </c>
    </row>
    <row r="115" spans="1:3" x14ac:dyDescent="0.45">
      <c r="A115" s="154">
        <v>46073</v>
      </c>
      <c r="B115" s="1" t="s">
        <v>84</v>
      </c>
      <c r="C115" s="87">
        <v>200000</v>
      </c>
    </row>
    <row r="116" spans="1:3" x14ac:dyDescent="0.45">
      <c r="A116" s="154">
        <v>46073</v>
      </c>
      <c r="B116" s="1" t="s">
        <v>84</v>
      </c>
      <c r="C116" s="87">
        <v>750000</v>
      </c>
    </row>
    <row r="117" spans="1:3" x14ac:dyDescent="0.45">
      <c r="A117" s="154">
        <v>46080</v>
      </c>
      <c r="B117" s="1" t="s">
        <v>84</v>
      </c>
      <c r="C117" s="87">
        <v>344999.91</v>
      </c>
    </row>
    <row r="118" spans="1:3" x14ac:dyDescent="0.45">
      <c r="A118" s="154">
        <v>46080</v>
      </c>
      <c r="B118" s="1" t="s">
        <v>84</v>
      </c>
      <c r="C118" s="87">
        <v>196000</v>
      </c>
    </row>
    <row r="119" spans="1:3" x14ac:dyDescent="0.45">
      <c r="A119" s="154">
        <v>46080</v>
      </c>
      <c r="B119" s="1" t="s">
        <v>84</v>
      </c>
      <c r="C119" s="87">
        <v>291927</v>
      </c>
    </row>
    <row r="120" spans="1:3" x14ac:dyDescent="0.45">
      <c r="A120" s="154">
        <v>46080</v>
      </c>
      <c r="B120" s="1" t="s">
        <v>84</v>
      </c>
      <c r="C120" s="87">
        <v>280000</v>
      </c>
    </row>
    <row r="121" spans="1:3" x14ac:dyDescent="0.45">
      <c r="A121" s="154">
        <v>46080</v>
      </c>
      <c r="B121" s="1" t="s">
        <v>84</v>
      </c>
      <c r="C121" s="87">
        <v>180000</v>
      </c>
    </row>
    <row r="122" spans="1:3" x14ac:dyDescent="0.45">
      <c r="A122" s="154">
        <v>46080</v>
      </c>
      <c r="B122" s="1" t="s">
        <v>84</v>
      </c>
      <c r="C122" s="87">
        <v>200000</v>
      </c>
    </row>
    <row r="123" spans="1:3" x14ac:dyDescent="0.45">
      <c r="A123" s="154">
        <v>46080</v>
      </c>
      <c r="B123" s="1" t="s">
        <v>84</v>
      </c>
      <c r="C123" s="87">
        <v>369188</v>
      </c>
    </row>
    <row r="124" spans="1:3" x14ac:dyDescent="0.45">
      <c r="A124" s="154">
        <v>46087</v>
      </c>
      <c r="B124" s="1" t="s">
        <v>84</v>
      </c>
      <c r="C124" s="87">
        <v>359016</v>
      </c>
    </row>
    <row r="125" spans="1:3" x14ac:dyDescent="0.45">
      <c r="A125" s="154">
        <v>46087</v>
      </c>
      <c r="B125" s="1" t="s">
        <v>84</v>
      </c>
      <c r="C125" s="87">
        <v>280000</v>
      </c>
    </row>
    <row r="126" spans="1:3" x14ac:dyDescent="0.45">
      <c r="A126" s="154">
        <v>46087</v>
      </c>
      <c r="B126" s="1" t="s">
        <v>84</v>
      </c>
      <c r="C126" s="87">
        <v>219000</v>
      </c>
    </row>
    <row r="127" spans="1:3" x14ac:dyDescent="0.45">
      <c r="A127" s="154">
        <v>46087</v>
      </c>
      <c r="B127" s="1" t="s">
        <v>84</v>
      </c>
      <c r="C127" s="87">
        <v>402209</v>
      </c>
    </row>
    <row r="128" spans="1:3" x14ac:dyDescent="0.45">
      <c r="A128" s="154">
        <v>46087</v>
      </c>
      <c r="B128" s="1" t="s">
        <v>84</v>
      </c>
      <c r="C128" s="87">
        <v>343406</v>
      </c>
    </row>
    <row r="129" spans="1:3" x14ac:dyDescent="0.45">
      <c r="A129" s="154">
        <v>46087</v>
      </c>
      <c r="B129" s="1" t="s">
        <v>84</v>
      </c>
      <c r="C129" s="87">
        <v>311225</v>
      </c>
    </row>
    <row r="130" spans="1:3" x14ac:dyDescent="0.45">
      <c r="A130" s="154">
        <v>46087</v>
      </c>
      <c r="B130" s="1" t="s">
        <v>84</v>
      </c>
      <c r="C130" s="87">
        <v>180000</v>
      </c>
    </row>
    <row r="131" spans="1:3" x14ac:dyDescent="0.45">
      <c r="A131" s="154">
        <v>46087</v>
      </c>
      <c r="B131" s="1" t="s">
        <v>84</v>
      </c>
      <c r="C131" s="87">
        <v>200000</v>
      </c>
    </row>
    <row r="132" spans="1:3" x14ac:dyDescent="0.45">
      <c r="A132" s="154">
        <v>46087</v>
      </c>
      <c r="B132" s="1" t="s">
        <v>84</v>
      </c>
      <c r="C132" s="87">
        <v>750000</v>
      </c>
    </row>
    <row r="133" spans="1:3" x14ac:dyDescent="0.45">
      <c r="A133" s="154">
        <v>46094</v>
      </c>
      <c r="B133" s="1" t="s">
        <v>84</v>
      </c>
      <c r="C133" s="87">
        <v>383829.61</v>
      </c>
    </row>
    <row r="134" spans="1:3" x14ac:dyDescent="0.45">
      <c r="A134" s="154">
        <v>46094</v>
      </c>
      <c r="B134" s="1" t="s">
        <v>84</v>
      </c>
      <c r="C134" s="87">
        <v>235000</v>
      </c>
    </row>
    <row r="135" spans="1:3" x14ac:dyDescent="0.45">
      <c r="A135" s="154">
        <v>46094</v>
      </c>
      <c r="B135" s="1" t="s">
        <v>84</v>
      </c>
      <c r="C135" s="87">
        <v>297500</v>
      </c>
    </row>
    <row r="136" spans="1:3" x14ac:dyDescent="0.45">
      <c r="A136" s="154">
        <v>46094</v>
      </c>
      <c r="B136" s="1" t="s">
        <v>84</v>
      </c>
      <c r="C136" s="87">
        <v>250000</v>
      </c>
    </row>
    <row r="137" spans="1:3" x14ac:dyDescent="0.45">
      <c r="A137" s="154">
        <v>46094</v>
      </c>
      <c r="B137" s="1" t="s">
        <v>84</v>
      </c>
      <c r="C137" s="87">
        <v>270000</v>
      </c>
    </row>
    <row r="138" spans="1:3" x14ac:dyDescent="0.45">
      <c r="A138" s="154">
        <v>46094</v>
      </c>
      <c r="B138" s="1" t="s">
        <v>84</v>
      </c>
      <c r="C138" s="87">
        <v>200000</v>
      </c>
    </row>
    <row r="139" spans="1:3" x14ac:dyDescent="0.45">
      <c r="A139" s="154">
        <v>46094</v>
      </c>
      <c r="B139" s="1" t="s">
        <v>84</v>
      </c>
      <c r="C139" s="87">
        <v>200000</v>
      </c>
    </row>
    <row r="140" spans="1:3" x14ac:dyDescent="0.45">
      <c r="A140" s="154">
        <v>46094</v>
      </c>
      <c r="B140" s="1" t="s">
        <v>84</v>
      </c>
      <c r="C140" s="87">
        <v>427063</v>
      </c>
    </row>
    <row r="141" spans="1:3" x14ac:dyDescent="0.45">
      <c r="A141" s="154">
        <v>46101</v>
      </c>
      <c r="B141" s="1" t="s">
        <v>84</v>
      </c>
      <c r="C141" s="87">
        <v>397181</v>
      </c>
    </row>
    <row r="142" spans="1:3" x14ac:dyDescent="0.45">
      <c r="A142" s="154">
        <v>46101</v>
      </c>
      <c r="B142" s="1" t="s">
        <v>84</v>
      </c>
      <c r="C142" s="87">
        <v>280000</v>
      </c>
    </row>
    <row r="143" spans="1:3" x14ac:dyDescent="0.45">
      <c r="A143" s="154">
        <v>46101</v>
      </c>
      <c r="B143" s="1" t="s">
        <v>84</v>
      </c>
      <c r="C143" s="87">
        <v>241000</v>
      </c>
    </row>
    <row r="144" spans="1:3" x14ac:dyDescent="0.45">
      <c r="A144" s="154">
        <v>46101</v>
      </c>
      <c r="B144" s="1" t="s">
        <v>84</v>
      </c>
      <c r="C144" s="87">
        <v>761632</v>
      </c>
    </row>
    <row r="145" spans="1:3" x14ac:dyDescent="0.45">
      <c r="A145" s="154">
        <v>46101</v>
      </c>
      <c r="B145" s="1" t="s">
        <v>84</v>
      </c>
      <c r="C145" s="87">
        <v>442500</v>
      </c>
    </row>
    <row r="146" spans="1:3" x14ac:dyDescent="0.45">
      <c r="A146" s="154">
        <v>46101</v>
      </c>
      <c r="B146" s="1" t="s">
        <v>84</v>
      </c>
      <c r="C146" s="87">
        <v>300000</v>
      </c>
    </row>
    <row r="147" spans="1:3" x14ac:dyDescent="0.45">
      <c r="A147" s="154">
        <v>46101</v>
      </c>
      <c r="B147" s="1" t="s">
        <v>84</v>
      </c>
      <c r="C147" s="87">
        <v>270000</v>
      </c>
    </row>
    <row r="148" spans="1:3" x14ac:dyDescent="0.45">
      <c r="A148" s="154">
        <v>46101</v>
      </c>
      <c r="B148" s="1" t="s">
        <v>84</v>
      </c>
      <c r="C148" s="87">
        <v>160000</v>
      </c>
    </row>
    <row r="149" spans="1:3" x14ac:dyDescent="0.45">
      <c r="A149" s="154">
        <v>46101</v>
      </c>
      <c r="B149" s="1" t="s">
        <v>84</v>
      </c>
      <c r="C149" s="87">
        <v>550000</v>
      </c>
    </row>
    <row r="150" spans="1:3" x14ac:dyDescent="0.45">
      <c r="A150" s="154">
        <v>46108</v>
      </c>
      <c r="B150" s="1" t="s">
        <v>84</v>
      </c>
      <c r="C150" s="87">
        <v>370875</v>
      </c>
    </row>
    <row r="151" spans="1:3" x14ac:dyDescent="0.45">
      <c r="A151" s="154">
        <v>46108</v>
      </c>
      <c r="B151" s="1" t="s">
        <v>84</v>
      </c>
      <c r="C151" s="87">
        <v>200000</v>
      </c>
    </row>
    <row r="152" spans="1:3" x14ac:dyDescent="0.45">
      <c r="A152" s="154">
        <v>46108</v>
      </c>
      <c r="B152" s="1" t="s">
        <v>84</v>
      </c>
      <c r="C152" s="87">
        <v>296190</v>
      </c>
    </row>
    <row r="153" spans="1:3" x14ac:dyDescent="0.45">
      <c r="A153" s="154">
        <v>46108</v>
      </c>
      <c r="B153" s="1" t="s">
        <v>84</v>
      </c>
      <c r="C153" s="87">
        <v>280000</v>
      </c>
    </row>
    <row r="154" spans="1:3" x14ac:dyDescent="0.45">
      <c r="A154" s="154">
        <v>46108</v>
      </c>
      <c r="B154" s="1" t="s">
        <v>84</v>
      </c>
      <c r="C154" s="87">
        <v>270000</v>
      </c>
    </row>
    <row r="155" spans="1:3" x14ac:dyDescent="0.45">
      <c r="A155" s="154">
        <v>46108</v>
      </c>
      <c r="B155" s="1" t="s">
        <v>84</v>
      </c>
      <c r="C155" s="87">
        <v>160000</v>
      </c>
    </row>
    <row r="156" spans="1:3" x14ac:dyDescent="0.45">
      <c r="A156" s="154">
        <v>46108</v>
      </c>
      <c r="B156" s="1" t="s">
        <v>84</v>
      </c>
      <c r="C156" s="87">
        <v>354750</v>
      </c>
    </row>
    <row r="157" spans="1:3" x14ac:dyDescent="0.45">
      <c r="A157" s="154">
        <v>46113</v>
      </c>
      <c r="B157" s="1" t="s">
        <v>84</v>
      </c>
      <c r="C157" s="87">
        <v>384350</v>
      </c>
    </row>
    <row r="158" spans="1:3" x14ac:dyDescent="0.45">
      <c r="A158" s="154">
        <v>46113</v>
      </c>
      <c r="B158" s="1" t="s">
        <v>84</v>
      </c>
      <c r="C158" s="87">
        <v>280000</v>
      </c>
    </row>
    <row r="159" spans="1:3" x14ac:dyDescent="0.45">
      <c r="A159" s="154">
        <v>46113</v>
      </c>
      <c r="B159" s="1" t="s">
        <v>84</v>
      </c>
      <c r="C159" s="87">
        <v>207500</v>
      </c>
    </row>
    <row r="160" spans="1:3" x14ac:dyDescent="0.45">
      <c r="A160" s="154">
        <v>46113</v>
      </c>
      <c r="B160" s="1" t="s">
        <v>84</v>
      </c>
      <c r="C160" s="87">
        <v>780000</v>
      </c>
    </row>
    <row r="161" spans="1:3" x14ac:dyDescent="0.45">
      <c r="A161" s="154">
        <v>46113</v>
      </c>
      <c r="B161" s="1" t="s">
        <v>84</v>
      </c>
      <c r="C161" s="87">
        <v>355000</v>
      </c>
    </row>
    <row r="162" spans="1:3" x14ac:dyDescent="0.45">
      <c r="A162" s="154">
        <v>46113</v>
      </c>
      <c r="B162" s="1" t="s">
        <v>84</v>
      </c>
      <c r="C162" s="87">
        <v>295000</v>
      </c>
    </row>
    <row r="163" spans="1:3" x14ac:dyDescent="0.45">
      <c r="A163" s="154">
        <v>46113</v>
      </c>
      <c r="B163" s="1" t="s">
        <v>84</v>
      </c>
      <c r="C163" s="87">
        <v>90000</v>
      </c>
    </row>
    <row r="164" spans="1:3" x14ac:dyDescent="0.45">
      <c r="A164" s="154">
        <v>46113</v>
      </c>
      <c r="B164" s="1" t="s">
        <v>84</v>
      </c>
      <c r="C164" s="87">
        <v>120000</v>
      </c>
    </row>
    <row r="165" spans="1:3" x14ac:dyDescent="0.45">
      <c r="A165" s="154">
        <v>46113</v>
      </c>
      <c r="B165" s="1" t="s">
        <v>84</v>
      </c>
      <c r="C165" s="87">
        <v>750000</v>
      </c>
    </row>
    <row r="166" spans="1:3" x14ac:dyDescent="0.45">
      <c r="A166" s="154">
        <v>46122</v>
      </c>
      <c r="B166" s="1" t="s">
        <v>84</v>
      </c>
      <c r="C166" s="87">
        <v>345000</v>
      </c>
    </row>
    <row r="167" spans="1:3" x14ac:dyDescent="0.45">
      <c r="A167" s="154">
        <v>46122</v>
      </c>
      <c r="B167" s="1" t="s">
        <v>84</v>
      </c>
      <c r="C167" s="87">
        <v>200000</v>
      </c>
    </row>
    <row r="168" spans="1:3" x14ac:dyDescent="0.45">
      <c r="A168" s="154">
        <v>46122</v>
      </c>
      <c r="B168" s="1" t="s">
        <v>84</v>
      </c>
      <c r="C168" s="87">
        <v>295000</v>
      </c>
    </row>
    <row r="169" spans="1:3" x14ac:dyDescent="0.45">
      <c r="A169" s="154">
        <v>46122</v>
      </c>
      <c r="B169" s="1" t="s">
        <v>84</v>
      </c>
      <c r="C169" s="87">
        <v>280000</v>
      </c>
    </row>
    <row r="170" spans="1:3" x14ac:dyDescent="0.45">
      <c r="A170" s="154">
        <v>46122</v>
      </c>
      <c r="B170" s="1" t="s">
        <v>84</v>
      </c>
      <c r="C170" s="87">
        <v>90000</v>
      </c>
    </row>
    <row r="171" spans="1:3" x14ac:dyDescent="0.45">
      <c r="A171" s="154">
        <v>46122</v>
      </c>
      <c r="B171" s="1" t="s">
        <v>84</v>
      </c>
      <c r="C171" s="87">
        <v>200000</v>
      </c>
    </row>
    <row r="172" spans="1:3" x14ac:dyDescent="0.45">
      <c r="A172" s="154">
        <v>46122</v>
      </c>
      <c r="B172" s="1" t="s">
        <v>84</v>
      </c>
      <c r="C172" s="87">
        <v>330000</v>
      </c>
    </row>
    <row r="173" spans="1:3" x14ac:dyDescent="0.45">
      <c r="A173" s="154">
        <v>46129</v>
      </c>
      <c r="B173" s="1" t="s">
        <v>84</v>
      </c>
      <c r="C173" s="87">
        <v>399334</v>
      </c>
    </row>
    <row r="174" spans="1:3" x14ac:dyDescent="0.45">
      <c r="A174" s="154">
        <v>46129</v>
      </c>
      <c r="B174" s="1" t="s">
        <v>84</v>
      </c>
      <c r="C174" s="87">
        <v>280000</v>
      </c>
    </row>
    <row r="175" spans="1:3" x14ac:dyDescent="0.45">
      <c r="A175" s="154">
        <v>46129</v>
      </c>
      <c r="B175" s="1" t="s">
        <v>84</v>
      </c>
      <c r="C175" s="87">
        <v>259912</v>
      </c>
    </row>
    <row r="176" spans="1:3" x14ac:dyDescent="0.45">
      <c r="A176" s="154">
        <v>46129</v>
      </c>
      <c r="B176" s="1" t="s">
        <v>84</v>
      </c>
      <c r="C176" s="87">
        <v>715000</v>
      </c>
    </row>
    <row r="177" spans="1:3" x14ac:dyDescent="0.45">
      <c r="A177" s="154">
        <v>46129</v>
      </c>
      <c r="B177" s="1" t="s">
        <v>84</v>
      </c>
      <c r="C177" s="87">
        <v>389219</v>
      </c>
    </row>
    <row r="178" spans="1:3" x14ac:dyDescent="0.45">
      <c r="A178" s="154">
        <v>46129</v>
      </c>
      <c r="B178" s="1" t="s">
        <v>84</v>
      </c>
      <c r="C178" s="87">
        <v>295000</v>
      </c>
    </row>
    <row r="179" spans="1:3" x14ac:dyDescent="0.45">
      <c r="A179" s="154">
        <v>46129</v>
      </c>
      <c r="B179" s="1" t="s">
        <v>84</v>
      </c>
      <c r="C179" s="87">
        <v>180000</v>
      </c>
    </row>
    <row r="180" spans="1:3" x14ac:dyDescent="0.45">
      <c r="A180" s="154">
        <v>46129</v>
      </c>
      <c r="B180" s="1" t="s">
        <v>84</v>
      </c>
      <c r="C180" s="87">
        <v>200000</v>
      </c>
    </row>
    <row r="181" spans="1:3" x14ac:dyDescent="0.45">
      <c r="A181" s="154">
        <v>46129</v>
      </c>
      <c r="B181" s="1" t="s">
        <v>84</v>
      </c>
      <c r="C181" s="87">
        <v>750000</v>
      </c>
    </row>
    <row r="182" spans="1:3" x14ac:dyDescent="0.45">
      <c r="A182" s="154">
        <v>46136</v>
      </c>
      <c r="B182" s="1" t="s">
        <v>84</v>
      </c>
      <c r="C182" s="87">
        <v>482000</v>
      </c>
    </row>
    <row r="183" spans="1:3" x14ac:dyDescent="0.45">
      <c r="A183" s="154">
        <v>46136</v>
      </c>
      <c r="B183" s="1" t="s">
        <v>84</v>
      </c>
      <c r="C183" s="87">
        <v>188000</v>
      </c>
    </row>
    <row r="184" spans="1:3" x14ac:dyDescent="0.45">
      <c r="A184" s="154">
        <v>46136</v>
      </c>
      <c r="B184" s="1" t="s">
        <v>84</v>
      </c>
      <c r="C184" s="87">
        <v>295000</v>
      </c>
    </row>
    <row r="185" spans="1:3" x14ac:dyDescent="0.45">
      <c r="A185" s="154">
        <v>46136</v>
      </c>
      <c r="B185" s="1" t="s">
        <v>84</v>
      </c>
      <c r="C185" s="87">
        <v>280000</v>
      </c>
    </row>
    <row r="186" spans="1:3" x14ac:dyDescent="0.45">
      <c r="A186" s="154">
        <v>46136</v>
      </c>
      <c r="B186" s="1" t="s">
        <v>84</v>
      </c>
      <c r="C186" s="87">
        <v>270000</v>
      </c>
    </row>
    <row r="187" spans="1:3" x14ac:dyDescent="0.45">
      <c r="A187" s="154">
        <v>46136</v>
      </c>
      <c r="B187" s="1" t="s">
        <v>84</v>
      </c>
      <c r="C187" s="87">
        <v>200000</v>
      </c>
    </row>
    <row r="188" spans="1:3" x14ac:dyDescent="0.45">
      <c r="A188" s="154">
        <v>46136</v>
      </c>
      <c r="B188" s="1" t="s">
        <v>84</v>
      </c>
      <c r="C188" s="87">
        <v>457000</v>
      </c>
    </row>
    <row r="189" spans="1:3" x14ac:dyDescent="0.45">
      <c r="A189" s="154">
        <v>46143</v>
      </c>
      <c r="B189" s="1" t="s">
        <v>84</v>
      </c>
      <c r="C189" s="87">
        <v>345133</v>
      </c>
    </row>
    <row r="190" spans="1:3" x14ac:dyDescent="0.45">
      <c r="A190" s="154">
        <v>46143</v>
      </c>
      <c r="B190" s="1" t="s">
        <v>84</v>
      </c>
      <c r="C190" s="87">
        <v>280000</v>
      </c>
    </row>
    <row r="191" spans="1:3" x14ac:dyDescent="0.45">
      <c r="A191" s="154">
        <v>46143</v>
      </c>
      <c r="B191" s="1" t="s">
        <v>84</v>
      </c>
      <c r="C191" s="87">
        <v>204000</v>
      </c>
    </row>
    <row r="192" spans="1:3" x14ac:dyDescent="0.45">
      <c r="A192" s="154">
        <v>46143</v>
      </c>
      <c r="B192" s="1" t="s">
        <v>84</v>
      </c>
      <c r="C192" s="87">
        <v>770000</v>
      </c>
    </row>
    <row r="193" spans="1:3" x14ac:dyDescent="0.45">
      <c r="A193" s="154">
        <v>46143</v>
      </c>
      <c r="B193" s="1" t="s">
        <v>84</v>
      </c>
      <c r="C193" s="87">
        <v>330000</v>
      </c>
    </row>
    <row r="194" spans="1:3" x14ac:dyDescent="0.45">
      <c r="A194" s="154">
        <v>46143</v>
      </c>
      <c r="B194" s="1" t="s">
        <v>84</v>
      </c>
      <c r="C194" s="87">
        <v>295000</v>
      </c>
    </row>
    <row r="195" spans="1:3" x14ac:dyDescent="0.45">
      <c r="A195" s="154">
        <v>46143</v>
      </c>
      <c r="B195" s="1" t="s">
        <v>84</v>
      </c>
      <c r="C195" s="87">
        <v>270000</v>
      </c>
    </row>
    <row r="196" spans="1:3" x14ac:dyDescent="0.45">
      <c r="A196" s="154">
        <v>46143</v>
      </c>
      <c r="B196" s="1" t="s">
        <v>84</v>
      </c>
      <c r="C196" s="87">
        <v>160000</v>
      </c>
    </row>
    <row r="197" spans="1:3" x14ac:dyDescent="0.4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http://purl.org/dc/dcmitype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3fb66916-e76c-4d03-ae05-5e8b00f44c30"/>
    <ds:schemaRef ds:uri="http://purl.org/dc/elements/1.1/"/>
    <ds:schemaRef ds:uri="http://schemas.microsoft.com/office/infopath/2007/PartnerControls"/>
    <ds:schemaRef ds:uri="d07e69a6-4c47-4689-8a4b-b6455870e7f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2026-05-03T04:54:57Z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