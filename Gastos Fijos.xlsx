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60" documentId="13_ncr:1_{F39443B0-11EE-4A85-84B8-BCF3678BA4E9}" xr6:coauthVersionLast="47" xr6:coauthVersionMax="47" xr10:uidLastSave="{992DA087-8E5B-4941-A6D5-DDFEDDC39088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<sst xmlns="http://schemas.openxmlformats.org/spreadsheetml/2006/main" count="1640" uniqueCount="301">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</sst>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4"/>
    <tableColumn id="2" xr3:uid="{E26B3483-847F-40D5-AFA3-2C070B7DE6E1}" uniqueName="2" name="Concepto" queryTableFieldId="2" dataDxfId="3"/>
    <tableColumn id="3" xr3:uid="{00FAA1E1-D086-4F68-AFD0-FCDF985BD3C0}" uniqueName="3" name="Monto $" queryTableFieldId="3" dataDxfId="2"/>
    <tableColumn id="4" xr3:uid="{0FEEAF1F-4F23-48CC-95AF-932A04B5F050}" uniqueName="4" name="Monto usd" queryTableFieldId="4" dataDxfId="1"/>
    <tableColumn id="5" xr3:uid="{31BBC099-A320-48C5-A858-D345825A2ED7}" uniqueName="5" name="Pague?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7" dataDxfId="35" headerRowBorderDxfId="36" tableBorderDxfId="34">
  <autoFilter ref="K2:N409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9" dataDxfId="27" headerRowBorderDxfId="28" tableBorderDxfId="26">
  <autoFilter ref="P2:S250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21" dataDxfId="20">
  <autoFilter ref="A2:C197" xr:uid="{92A7D90D-B388-4015-AC75-841DEDA78CF7}"/>
  <tableColumns count="3">
    <tableColumn id="1" xr3:uid="{6756029C-25E0-4A33-A7CB-82A4691AB243}" uniqueName="1" name="Fecha" queryTableFieldId="1" dataDxfId="19"/>
    <tableColumn id="2" xr3:uid="{766723DD-E89E-4342-8EEA-44308A9C6625}" uniqueName="2" name="Detalle" queryTableFieldId="2" dataDxfId="18"/>
    <tableColumn id="3" xr3:uid="{C67E469E-FE47-4511-AB09-85EB87EBF329}" uniqueName="3" name="Valor" queryTableFieldId="3" dataDxfId="17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6" dataDxfId="15">
  <tableColumns count="3">
    <tableColumn id="1" xr3:uid="{169B3DED-6AE8-4A8A-A6C6-2BEAFC3087E7}" uniqueName="1" name="Fecha" queryTableFieldId="1" dataDxfId="14"/>
    <tableColumn id="2" xr3:uid="{DCEECC40-5AAE-4A3F-B154-B84061A011D8}" uniqueName="2" name="Detalle" queryTableFieldId="2" dataDxfId="13"/>
    <tableColumn id="3" xr3:uid="{64E754ED-16E9-4B0F-9E4E-95AAEDBD3CF0}" uniqueName="3" name="Valor" queryTableFieldId="3" dataDxfId="12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23" sqref="A23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1" priority="1" operator="containsText" text="Tarjet">
      <formula>NOT(ISERROR(SEARCH("Tarjet",A1)))</formula>
    </cfRule>
  </conditionalFormatting>
  <conditionalFormatting sqref="A37">
    <cfRule type="expression" dxfId="10" priority="2">
      <formula>IF(A37=DAY(TODAY()),TRUE,FALSE)</formula>
    </cfRule>
  </conditionalFormatting>
  <conditionalFormatting sqref="A35:C41 A1:A36 A38:A1048576">
    <cfRule type="containsText" dxfId="9" priority="3" operator="containsText" text="presta">
      <formula>NOT(ISERROR(SEARCH("presta",A1)))</formula>
    </cfRule>
  </conditionalFormatting>
  <conditionalFormatting sqref="B1:B1048576">
    <cfRule type="expression" dxfId="8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" activePane="bottomLeft" state="frozen"/>
      <selection pane="bottomLeft" activeCell="V3" sqref="V3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7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46162</v>
      </c>
      <c r="V16" s="1" t="str">
        <v>IVA Mayo/26</v>
      </c>
      <c r="W16" s="91">
        <v>0</v>
      </c>
      <c r="X16" s="92" t="str">
        <v>GVarios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46169</v>
      </c>
      <c r="V17" s="1" t="str">
        <v>Endosado ALU-MAQ</v>
      </c>
      <c r="W17" s="91">
        <v>919720.09</v>
      </c>
      <c r="X17" s="92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300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7" priority="5">
      <formula>AND($U3&lt;&gt;"",MOD(ROW()-ROW($U$3),2)=0)</formula>
    </cfRule>
  </conditionalFormatting>
  <conditionalFormatting sqref="Y1:Y1048576">
    <cfRule type="cellIs" dxfId="6" priority="2" operator="equal">
      <formula>0</formula>
    </cfRule>
    <cfRule type="cellIs" dxfId="5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