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33" documentId="13_ncr:1_{F39443B0-11EE-4A85-84B8-BCF3678BA4E9}" xr6:coauthVersionLast="47" xr6:coauthVersionMax="47" xr10:uidLastSave="{56331CFE-9487-49EB-A6C1-516F4CEEE19A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<sst xmlns="http://schemas.openxmlformats.org/spreadsheetml/2006/main" count="1635" uniqueCount="298">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</sst>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7" totalsRowShown="0" headerRowDxfId="32" dataDxfId="30" headerRowBorderDxfId="31" tableBorderDxfId="29">
  <autoFilter ref="K2:N407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8" totalsRowShown="0" headerRowDxfId="24" dataDxfId="22" headerRowBorderDxfId="23" tableBorderDxfId="21">
  <autoFilter ref="P2:S248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D1" zoomScaleNormal="100" workbookViewId="0">
      <pane ySplit="3" topLeftCell="A4" activePane="bottomLeft" state="frozen"/>
      <selection pane="bottomLeft" activeCell="AR7" sqref="AR7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76" activePane="bottomLeft" state="frozen"/>
      <selection pane="bottomLeft" activeCell="N408" sqref="N408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3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0.25837898787812413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0.25837898787812413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911404.27</v>
      </c>
      <c r="AC4" s="98">
        <f t="shared" si="2"/>
        <v>6.9171088216509038E-2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8860258.6400000006</v>
      </c>
      <c r="AC5" s="98">
        <f t="shared" si="2"/>
        <v>0.67244992390536684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E-che Rebotado</v>
      </c>
      <c r="W7" s="119">
        <v>280000</v>
      </c>
      <c r="X7" s="92" t="str">
        <v>GVarios</v>
      </c>
      <c r="Y7" s="82"/>
      <c r="AA7" s="83" t="s">
        <v>97</v>
      </c>
      <c r="AB7" s="100">
        <f>+SUM(AB3:AB6)</f>
        <v>13176086.91</v>
      </c>
      <c r="AD7" s="76">
        <f t="shared" si="3"/>
        <v>46113</v>
      </c>
      <c r="AG7" s="79" t="str">
        <v>mayo</v>
      </c>
      <c r="AH7" s="81">
        <v>13176086.91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46149</v>
      </c>
      <c r="V8" s="1" t="str">
        <v>Endosado ALNAT</v>
      </c>
      <c r="W8" s="119">
        <v>919720.09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46155</v>
      </c>
      <c r="V9" s="1" t="str">
        <v>Endosado ALU-MAQ</v>
      </c>
      <c r="W9" s="91">
        <v>564841.93000000005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46155</v>
      </c>
      <c r="V10" s="1" t="str">
        <v>Endosado ALNAT</v>
      </c>
      <c r="W10" s="91">
        <v>1925665.43</v>
      </c>
      <c r="X10" s="92" t="str">
        <v>Mercaderia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46157</v>
      </c>
      <c r="V11" s="1" t="str">
        <v>Endosado ALNAT</v>
      </c>
      <c r="W11" s="91">
        <v>799786.09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46159</v>
      </c>
      <c r="V12" s="1" t="str">
        <v>Endosado ALNAT</v>
      </c>
      <c r="W12" s="91">
        <v>2137195.3600000003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46169</v>
      </c>
      <c r="V13" s="1" t="str">
        <v>Endosado ALU-MAQ</v>
      </c>
      <c r="W13" s="91">
        <v>919720.09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/>
      <c r="W14" s="91"/>
      <c r="X14" s="92"/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/>
      <c r="W15" s="91"/>
      <c r="X15" s="92"/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/>
      <c r="W16" s="91"/>
      <c r="X16" s="92"/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X408" s="3"/>
    </row>
    <row r="409" spans="11:24" ht="14.25" customHeight="1" x14ac:dyDescent="0.25">
      <c r="N409" s="101"/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7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2026-05-04T18:52:42Z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