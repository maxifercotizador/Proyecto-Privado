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2610" documentId="13_ncr:1_{F39443B0-11EE-4A85-84B8-BCF3678BA4E9}" xr6:coauthVersionLast="47" xr6:coauthVersionMax="47" xr10:uidLastSave="{475A6147-460C-48C5-B070-71767C513E54}"/>
  <bookViews>
    <workbookView xWindow="-120" yWindow="-120" windowWidth="29040" windowHeight="15720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SUEL!$A$2:$C$181</definedName>
    <definedName name="DatosExternos_2" localSheetId="1" hidden="1">'Gastos Reales'!$E$2:$I$149</definedName>
    <definedName name="DatosExternos_3" localSheetId="2" hidden="1">SUEL!$E$2:$E$26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" l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K403" i="2"/>
  <c r="K74" i="1" l="1"/>
  <c r="K70" i="1"/>
  <c r="K400" i="2" l="1"/>
  <c r="I76" i="1" l="1"/>
  <c r="I72" i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55" i="1" a="1"/>
  <c r="HF255" i="1" s="1"/>
  <c r="HF254" i="1" a="1"/>
  <c r="HF254" i="1" s="1"/>
  <c r="HF253" i="1" a="1"/>
  <c r="HF253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Q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AN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N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N9" i="1"/>
  <c r="AR9" i="1" s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196" i="1" a="1"/>
  <c r="HF116" i="1" a="1"/>
  <c r="HF266" i="1" a="1"/>
  <c r="HF79" i="1" a="1"/>
  <c r="HF157" i="1" a="1"/>
  <c r="HF39" i="1" a="1"/>
  <c r="HF234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8" i="1" a="1"/>
  <c r="HF17" i="1" a="1"/>
  <c r="HF235" i="1" a="1"/>
  <c r="HF32" i="1" a="1"/>
  <c r="HF154" i="1" a="1"/>
  <c r="HF16" i="1" a="1"/>
  <c r="HF195" i="1" a="1"/>
  <c r="HF36" i="1" a="1"/>
  <c r="HF9" i="1" a="1"/>
  <c r="HF19" i="1" a="1"/>
  <c r="HF33" i="1" a="1"/>
  <c r="HF18" i="1" a="1"/>
  <c r="HF158" i="1" a="1"/>
  <c r="HF228" i="1" a="1"/>
  <c r="HF7" i="1" a="1"/>
  <c r="HF56" i="1" a="1"/>
  <c r="HF29" i="1" a="1"/>
  <c r="HF232" i="1" a="1"/>
  <c r="HF306" i="1" a="1"/>
  <c r="HF28" i="1" a="1"/>
  <c r="HF37" i="1" a="1"/>
  <c r="HF23" i="1" a="1"/>
  <c r="HF304" i="1" a="1"/>
  <c r="HF31" i="1" a="1"/>
  <c r="HF192" i="1" a="1"/>
  <c r="HF233" i="1" a="1"/>
  <c r="HF115" i="1" a="1"/>
  <c r="HF190" i="1" a="1"/>
  <c r="HF27" i="1" a="1"/>
  <c r="HF230" i="1" a="1"/>
  <c r="HF153" i="1" a="1"/>
  <c r="HF15" i="1" a="1"/>
  <c r="HF5" i="1" a="1"/>
  <c r="HF20" i="1" a="1"/>
  <c r="HF14" i="1" a="1"/>
  <c r="HF114" i="1" a="1"/>
  <c r="HF25" i="1" a="1"/>
  <c r="HF35" i="1" a="1"/>
  <c r="HF24" i="1" a="1"/>
  <c r="HF229" i="1" a="1"/>
  <c r="HF21" i="1" a="1"/>
  <c r="HF10" i="1" a="1"/>
  <c r="HF307" i="1" a="1"/>
  <c r="HF4" i="1" a="1"/>
  <c r="HF26" i="1" a="1"/>
  <c r="HF38" i="1" a="1"/>
  <c r="HF117" i="1" a="1"/>
  <c r="HF77" i="1" a="1"/>
  <c r="HF305" i="1" a="1"/>
  <c r="HF193" i="1" a="1"/>
  <c r="HF197" i="1" a="1"/>
  <c r="HF155" i="1" a="1"/>
  <c r="HF34" i="1" a="1"/>
  <c r="HF11" i="1" a="1"/>
  <c r="HF191" i="1" a="1"/>
  <c r="HF231" i="1" a="1"/>
  <c r="HF13" i="1" a="1"/>
  <c r="HF152" i="1" a="1"/>
  <c r="HF156" i="1" a="1"/>
  <c r="HF22" i="1" a="1"/>
  <c r="HF12" i="1" a="1"/>
  <c r="HF30" i="1" a="1"/>
  <c r="HF267" i="1" a="1"/>
  <c r="HF6" i="1" a="1"/>
  <c r="HF194" i="1" a="1"/>
  <c r="HF78" i="1" a="1"/>
  <c r="HF80" i="1" a="1"/>
  <c r="HF309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2" i="1" a="1"/>
  <c r="HF44" i="1" a="1"/>
  <c r="HF50" i="1" a="1"/>
  <c r="HF58" i="1" a="1"/>
  <c r="HF236" i="1" a="1"/>
  <c r="HF49" i="1" a="1"/>
  <c r="HF41" i="1" a="1"/>
  <c r="HF42" i="1" a="1"/>
  <c r="HF310" i="1" a="1"/>
  <c r="HF54" i="1" a="1"/>
  <c r="HF48" i="1" a="1"/>
  <c r="HF51" i="1" a="1"/>
  <c r="HF53" i="1" a="1"/>
  <c r="HF46" i="1" a="1"/>
  <c r="HF47" i="1" a="1"/>
  <c r="HF55" i="1" a="1"/>
  <c r="HF159" i="1" a="1"/>
  <c r="HF45" i="1" a="1"/>
  <c r="HF43" i="1" a="1"/>
  <c r="HF268" i="1" a="1"/>
  <c r="HF81" i="1" a="1"/>
  <c r="HF118" i="1" a="1"/>
  <c r="HF19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269" i="1" a="1"/>
  <c r="HF82" i="1" a="1"/>
  <c r="HF57" i="1" a="1"/>
  <c r="HF237" i="1" a="1"/>
  <c r="HF311" i="1" a="1"/>
  <c r="HF160" i="1" a="1"/>
  <c r="HF199" i="1" a="1"/>
  <c r="HF119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312" i="1" a="1"/>
  <c r="HF60" i="1" a="1"/>
  <c r="HF270" i="1" a="1"/>
  <c r="HF200" i="1" a="1"/>
  <c r="HF83" i="1" a="1"/>
  <c r="HF120" i="1" a="1"/>
  <c r="HF161" i="1" a="1"/>
  <c r="HF238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61" i="1" a="1"/>
  <c r="HF313" i="1" a="1"/>
  <c r="HF84" i="1" a="1"/>
  <c r="HF162" i="1" a="1"/>
  <c r="HF239" i="1" a="1"/>
  <c r="HF271" i="1" a="1"/>
  <c r="HF121" i="1" a="1"/>
  <c r="HF201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85" i="1" a="1"/>
  <c r="HF272" i="1" a="1"/>
  <c r="HF314" i="1" a="1"/>
  <c r="HF240" i="1" a="1"/>
  <c r="HF122" i="1" a="1"/>
  <c r="HF163" i="1" a="1"/>
  <c r="HF202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23" i="1" a="1"/>
  <c r="HF164" i="1" a="1"/>
  <c r="HF241" i="1" a="1"/>
  <c r="HF315" i="1" a="1"/>
  <c r="HF86" i="1" a="1"/>
  <c r="HF203" i="1" a="1"/>
  <c r="HF273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64" i="1" a="1"/>
  <c r="HF87" i="1" a="1"/>
  <c r="HF242" i="1" a="1"/>
  <c r="HF124" i="1" a="1"/>
  <c r="HF274" i="1" a="1"/>
  <c r="HF204" i="1" a="1"/>
  <c r="HF165" i="1" a="1"/>
  <c r="HF316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317" i="1" a="1"/>
  <c r="HF125" i="1" a="1"/>
  <c r="HF88" i="1" a="1"/>
  <c r="HF166" i="1" a="1"/>
  <c r="HF243" i="1" a="1"/>
  <c r="HF205" i="1" a="1"/>
  <c r="HF275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318" i="1" a="1"/>
  <c r="HF89" i="1" a="1"/>
  <c r="HF244" i="1" a="1"/>
  <c r="HF126" i="1" a="1"/>
  <c r="HF276" i="1" a="1"/>
  <c r="HF206" i="1" a="1"/>
  <c r="HF167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27" i="1" a="1"/>
  <c r="HF207" i="1" a="1"/>
  <c r="HF319" i="1" a="1"/>
  <c r="HF277" i="1" a="1"/>
  <c r="HF168" i="1" a="1"/>
  <c r="HF245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320" i="1" a="1"/>
  <c r="HF208" i="1" a="1"/>
  <c r="HF278" i="1" a="1"/>
  <c r="HF169" i="1" a="1"/>
  <c r="HF91" i="1" a="1"/>
  <c r="HF246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247" i="1" a="1"/>
  <c r="HF209" i="1" a="1"/>
  <c r="HF129" i="1" a="1"/>
  <c r="HF170" i="1" a="1"/>
  <c r="HF279" i="1" a="1"/>
  <c r="HF321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280" i="1" a="1"/>
  <c r="HF70" i="1" a="1"/>
  <c r="HF322" i="1" a="1"/>
  <c r="HF171" i="1" a="1"/>
  <c r="HF248" i="1" a="1"/>
  <c r="HF93" i="1" a="1"/>
  <c r="HF210" i="1" a="1"/>
  <c r="HF130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71" i="1" a="1"/>
  <c r="HF172" i="1" a="1"/>
  <c r="HF94" i="1" a="1"/>
  <c r="HF249" i="1" a="1"/>
  <c r="HF281" i="1" a="1"/>
  <c r="HF131" i="1" a="1"/>
  <c r="HF211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132" i="1" a="1"/>
  <c r="HF282" i="1" a="1"/>
  <c r="HF173" i="1" a="1"/>
  <c r="HF95" i="1" a="1"/>
  <c r="HF212" i="1" a="1"/>
  <c r="HF250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96" i="1" a="1"/>
  <c r="HF174" i="1" a="1"/>
  <c r="HF213" i="1" a="1"/>
  <c r="HF13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284" i="1" a="1"/>
  <c r="HF97" i="1" a="1"/>
  <c r="HF175" i="1" a="1"/>
  <c r="HF134" i="1" a="1"/>
  <c r="HL253" i="1" l="1"/>
  <c r="HL254" i="1" s="1"/>
  <c r="HL255" i="1" s="1"/>
  <c r="HL256" i="1" s="1"/>
  <c r="HL257" i="1" s="1"/>
  <c r="HL258" i="1" s="1"/>
  <c r="HL259" i="1" s="1"/>
  <c r="HL260" i="1" s="1"/>
  <c r="HL261" i="1" s="1"/>
  <c r="HL262" i="1" s="1"/>
  <c r="HL263" i="1" s="1"/>
  <c r="HL264" i="1" s="1"/>
  <c r="HL215" i="1"/>
  <c r="HF251" i="1"/>
  <c r="HF134" i="1"/>
  <c r="HF284" i="1"/>
  <c r="HF97" i="1"/>
  <c r="HF175" i="1"/>
  <c r="HL135" i="1"/>
  <c r="HL285" i="1"/>
  <c r="HL98" i="1"/>
  <c r="HL176" i="1"/>
  <c r="HF252" i="1" a="1"/>
  <c r="HF214" i="1" a="1"/>
  <c r="HF285" i="1" a="1"/>
  <c r="HF135" i="1" a="1"/>
  <c r="HF98" i="1" a="1"/>
  <c r="HF252" i="1" l="1"/>
  <c r="HL216" i="1"/>
  <c r="HF214" i="1"/>
  <c r="HL177" i="1"/>
  <c r="HF98" i="1"/>
  <c r="HF285" i="1"/>
  <c r="HF135" i="1"/>
  <c r="HL99" i="1"/>
  <c r="HL286" i="1"/>
  <c r="HL136" i="1"/>
  <c r="HF215" i="1" a="1"/>
  <c r="HF136" i="1" a="1"/>
  <c r="HF99" i="1" a="1"/>
  <c r="HF176" i="1" a="1"/>
  <c r="HF286" i="1" a="1"/>
  <c r="HL217" i="1" l="1"/>
  <c r="HF215" i="1"/>
  <c r="HL178" i="1"/>
  <c r="HF176" i="1"/>
  <c r="HF136" i="1"/>
  <c r="HF286" i="1"/>
  <c r="HF99" i="1"/>
  <c r="HL137" i="1"/>
  <c r="HL287" i="1"/>
  <c r="HL100" i="1"/>
  <c r="HF137" i="1" a="1"/>
  <c r="HF177" i="1" a="1"/>
  <c r="HF216" i="1" a="1"/>
  <c r="HF100" i="1" a="1"/>
  <c r="HF287" i="1" a="1"/>
  <c r="HL218" i="1" l="1"/>
  <c r="HF216" i="1"/>
  <c r="HL179" i="1"/>
  <c r="HF177" i="1"/>
  <c r="HF100" i="1"/>
  <c r="HF287" i="1"/>
  <c r="HF137" i="1"/>
  <c r="HL101" i="1"/>
  <c r="HL288" i="1"/>
  <c r="HL138" i="1"/>
  <c r="HF217" i="1" a="1"/>
  <c r="HF288" i="1" a="1"/>
  <c r="HF178" i="1" a="1"/>
  <c r="HF101" i="1" a="1"/>
  <c r="HL219" i="1" l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79" i="1" a="1"/>
  <c r="HF138" i="1" a="1"/>
  <c r="HF102" i="1" a="1"/>
  <c r="HF21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289" i="1" a="1"/>
  <c r="HF139" i="1" a="1"/>
  <c r="HF103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05" i="1" a="1"/>
  <c r="HF142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<sst xmlns="http://schemas.openxmlformats.org/spreadsheetml/2006/main" count="1481" uniqueCount="294">
  <si>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</si>
  <si>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</si>
  <si>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</si>
  <si>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</si>
  <si>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</si>
  <si>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</si>
  <si>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</si>
  <si>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</si>
  <si>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</si>
  <si>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</si>
  <si>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</si>
  <si>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</si>
  <si>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</si>
  <si>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</si>
  <si>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</si>
  <si>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</si>
  <si>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</si>
  <si>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</si>
  <si>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</si>
  <si>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</si>
  <si>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</si>
  <si>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</si>
  <si>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</si>
  <si>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</si>
  <si>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</si>
  <si>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</si>
  <si>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</si>
  <si>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</si>
  <si>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</si>
  <si>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</si>
  <si>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</si>
  <si>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</si>
  <si>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</si>
  <si>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</si>
  <si>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</si>
  <si>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</si>
  <si>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</si>
  <si>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</si>
  <si>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</si>
  <si>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</si>
  <si>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</si>
  <si>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</si>
  <si>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</si>
  <si>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</si>
  <si>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</si>
  <si>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</si>
  <si>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</si>
  <si>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</si>
  <si>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</si>
  <si>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</si>
  <si>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</si>
  <si>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</si>
  <si>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</si>
  <si>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</si>
  <si>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</si>
  <si>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</si>
  <si>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</si>
  <si>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</si>
  <si>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</si>
  <si>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</si>
  <si>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</si>
  <si>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</si>
  <si>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</si>
  <si>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</si>
  <si>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</si>
  <si>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</si>
  <si>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</si>
  <si>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</si>
  <si>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</si>
  <si>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</si>
  <si>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</si>
  <si>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</si>
  <si>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</si>
  <si>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</si>
  <si>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</si>
  <si>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</si>
  <si>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</si>
  <si>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</si>
  <si>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</si>
  <si>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</si>
  <si>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</si>
  <si>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</si>
  <si>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</si>
  <si>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</si>
  <si>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</si>
  <si>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</si>
  <si>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</si>
  <si>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</si>
  <si>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</si>
  <si>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</si>
  <si>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</si>
  <si>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</si>
  <si>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</si>
  <si>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</si>
  <si>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</si>
  <si>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</si>
  <si>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</si>
  <si>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</si>
  <si>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</si>
  <si>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</si>
  <si>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</si>
  <si>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</si>
  <si>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</si>
  <si>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</si>
  <si>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</si>
  <si>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</si>
  <si>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</si>
  <si>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</si>
  <si>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</si>
  <si>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</si>
  <si>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</si>
  <si>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</si>
  <si>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</si>
  <si>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</si>
  <si>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</si>
  <si>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</si>
  <si>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</si>
  <si>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</si>
  <si>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</si>
  <si>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</si>
  <si>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</si>
  <si>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</si>
  <si>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</si>
  <si>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</si>
  <si>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</si>
  <si>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</si>
  <si>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</si>
  <si>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</si>
  <si>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</si>
  <si>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</si>
  <si>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</si>
  <si>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</si>
  <si>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</si>
  <si>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</si>
  <si>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</si>
  <si>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</si>
  <si>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</si>
  <si>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</si>
  <si>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</si>
  <si>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</si>
  <si>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</si>
  <si>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</si>
  <si>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</si>
  <si>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</si>
  <si>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</si>
  <si>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</si>
  <si>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</si>
  <si>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</si>
  <si>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</si>
  <si>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</si>
  <si>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</si>
  <si>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</si>
  <si>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</si>
  <si>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</si>
  <si>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</si>
  <si>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</si>
  <si>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</si>
  <si>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</si>
  <si>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</si>
  <si>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</si>
  <si>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</si>
  <si>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</si>
  <si>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</si>
  <si>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</si>
  <si>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</si>
  <si>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</si>
  <si>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</si>
  <si>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</si>
  <si>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</si>
  <si>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</si>
  <si>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</si>
  <si>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</si>
  <si>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</si>
  <si>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</si>
  <si>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</si>
  <si>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</si>
  <si>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</si>
  <si>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</si>
  <si>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</si>
  <si>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</si>
  <si>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</si>
  <si>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</si>
  <si>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</si>
  <si>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</si>
  <si>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</si>
  <si>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</si>
  <si>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</si>
  <si>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</si>
  <si>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</si>
  <si>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</si>
  <si>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</si>
  <si>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</si>
  <si>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</si>
  <si>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</si>
  <si>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</si>
  <si>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</si>
  <si>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</si>
  <si>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</si>
  <si>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</si>
  <si>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</si>
  <si>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</si>
  <si>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</si>
  <si>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</si>
  <si>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</si>
  <si>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</si>
  <si>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</si>
  <si>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</si>
  <si>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</si>
  <si>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</si>
  <si>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</si>
  <si>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</si>
  <si>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</si>
  <si>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</si>
  <si>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</si>
  <si>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</si>
  <si>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</si>
  <si>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</si>
  <si>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</si>
  <si>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</si>
  <si>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</si>
  <si>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</si>
  <si>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</si>
  <si>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</si>
  <si>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</si>
  <si>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</si>
  <si>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</si>
  <si>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</si>
  <si>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DAVID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</si>
  <si>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</si>
  <si>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</si>
  <si>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</si>
  <si>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</si>
  <si>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</si>
  <si>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</si>
  <si>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</si>
  <si>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</si>
  <si>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</si>
  <si>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</si>
  <si>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</si>
  <si>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</si>
  <si>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</si>
  <si>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</si>
  <si>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</si>
  <si>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</si>
  <si>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</si>
  <si>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</si>
  <si>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</si>
  <si>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</si>
  <si>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</si>
  <si>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</si>
  <si>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</si>
  <si>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</si>
  <si>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</si>
  <si>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</si>
  <si>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</si>
  <si>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</si>
  <si>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</si>
  <si>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</si>
  <si>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</si>
  <si>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</si>
  <si>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</si>
  <si>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</si>
  <si>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</si>
  <si>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</si>
  <si>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</si>
  <si>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</si>
  <si>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</si>
  <si>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</si>
  <si>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</si>
  <si>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</si>
  <si>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</si>
  <si>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</si>
  <si>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</si>
  <si>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</si>
  <si>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</si>
  <si>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</si>
  <si>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</si>
  <si>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</si>
  <si>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</si>
  <si>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</si>
  <si>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</si>
  <si>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</si>
  <si>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</si>
  <si>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</si>
  <si>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</si>
  <si>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</si>
  <si>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</si>
  <si>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</si>
  <si>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</si>
  <si>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</si>
  <si>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</si>
  <si>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IIBB 4/26</t>
  </si>
  <si>
    <t>Tarjeta Galicia + VISA 3394</t>
  </si>
  <si>
    <t>JUNTAR ESTE DINERO LO ANTES POSIBLE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</si>
</sst>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1"/>
      <color theme="6" tint="-0.24997711111789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44" fontId="4" fillId="0" borderId="0" xfId="1" applyFont="1" applyAlignment="1" applyProtection="1">
      <alignment horizontal="center" vertical="center"/>
    </xf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3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3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165" fontId="13" fillId="11" borderId="0" xfId="1" applyNumberFormat="1" applyFont="1" applyFill="1" applyBorder="1" applyProtection="1"/>
    <xf numFmtId="165" fontId="13" fillId="12" borderId="0" xfId="1" applyNumberFormat="1" applyFont="1" applyFill="1" applyBorder="1" applyProtection="1"/>
    <xf numFmtId="0" fontId="12" fillId="0" borderId="0" xfId="0" applyFont="1"/>
    <xf numFmtId="165" fontId="12" fillId="0" borderId="0" xfId="1" applyNumberFormat="1" applyFont="1" applyAlignment="1">
      <alignment horizontal="center"/>
    </xf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14" borderId="0" xfId="1" applyNumberFormat="1" applyFont="1" applyFill="1" applyBorder="1" applyProtection="1"/>
    <xf numFmtId="165" fontId="4" fillId="15" borderId="0" xfId="1" applyNumberFormat="1" applyFont="1" applyFill="1" applyBorder="1" applyProtection="1"/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4" fillId="0" borderId="0" xfId="0" applyNumberFormat="1" applyFont="1" applyAlignment="1">
      <alignment horizontal="left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14" fontId="4" fillId="6" borderId="0" xfId="0" applyNumberFormat="1" applyFont="1" applyFill="1" applyAlignment="1" applyProtection="1">
      <alignment horizontal="center"/>
      <protection locked="0"/>
    </xf>
    <xf numFmtId="0" fontId="4" fillId="6" borderId="0" xfId="0" applyFont="1" applyFill="1" applyProtection="1">
      <protection locked="0"/>
    </xf>
    <xf numFmtId="0" fontId="4" fillId="6" borderId="0" xfId="0" applyFont="1" applyFill="1" applyAlignment="1" applyProtection="1">
      <alignment horizontal="center" vertical="center" wrapText="1"/>
      <protection locked="0"/>
    </xf>
    <xf numFmtId="165" fontId="4" fillId="6" borderId="0" xfId="1" applyNumberFormat="1" applyFont="1" applyFill="1" applyProtection="1"/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49" tableType="queryTable" totalsRowShown="0" headerRowDxfId="39" dataDxfId="38">
  <autoFilter ref="E2:I149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353" totalsRowShown="0" headerRowDxfId="32" dataDxfId="30" headerRowBorderDxfId="31" tableBorderDxfId="29">
  <autoFilter ref="K2:N353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26" totalsRowShown="0" headerRowDxfId="24" dataDxfId="22" headerRowBorderDxfId="23" tableBorderDxfId="21">
  <autoFilter ref="P2:S226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81" tableType="queryTable" totalsRowShown="0" headerRowDxfId="16" dataDxfId="15">
  <autoFilter ref="A2:C181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6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zoomScaleNormal="100" workbookViewId="0">
      <pane ySplit="3" topLeftCell="A4" activePane="bottomLeft" state="frozen"/>
      <selection pane="bottomLeft" activeCell="A5" sqref="A5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12003372.68</v>
      </c>
      <c r="H1" s="161" t="s">
        <v>34</v>
      </c>
      <c r="I1" s="162"/>
      <c r="J1" s="162"/>
      <c r="K1" s="162"/>
      <c r="L1" s="162"/>
      <c r="M1" s="162"/>
      <c r="N1" s="163"/>
      <c r="O1" s="164">
        <v>2025</v>
      </c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6"/>
      <c r="AA1" s="167">
        <v>2026</v>
      </c>
      <c r="AB1" s="168"/>
      <c r="AC1" s="168"/>
      <c r="AD1" s="168"/>
      <c r="AE1" s="168"/>
      <c r="AF1" s="168"/>
      <c r="AG1" s="168"/>
      <c r="AH1" s="168"/>
      <c r="AI1" s="168"/>
      <c r="AJ1" s="168"/>
      <c r="AK1" s="168"/>
      <c r="AL1" s="168"/>
      <c r="AM1" s="168"/>
      <c r="AN1" s="168"/>
      <c r="AO1" s="168"/>
      <c r="AP1" s="168"/>
      <c r="AQ1" s="168"/>
      <c r="AR1" s="168"/>
      <c r="AS1" s="168"/>
      <c r="AT1" s="168"/>
      <c r="AU1" s="168"/>
      <c r="AV1" s="168"/>
      <c r="AW1" s="168"/>
      <c r="AX1" s="168"/>
      <c r="AY1" s="168"/>
      <c r="AZ1" s="168"/>
      <c r="BA1" s="168"/>
      <c r="BB1" s="168"/>
      <c r="BC1" s="168"/>
      <c r="BD1" s="168"/>
      <c r="BE1" s="168"/>
      <c r="BF1" s="168"/>
      <c r="BG1" s="168"/>
      <c r="BH1" s="168"/>
      <c r="BI1" s="168"/>
      <c r="BJ1" s="168"/>
      <c r="BK1" s="168"/>
      <c r="BL1" s="168"/>
      <c r="BM1" s="168"/>
      <c r="BN1" s="168"/>
      <c r="BO1" s="168"/>
      <c r="BP1" s="168"/>
      <c r="BQ1" s="168"/>
      <c r="BR1" s="168"/>
      <c r="BS1" s="167">
        <v>2027</v>
      </c>
      <c r="BT1" s="168"/>
      <c r="BU1" s="168"/>
      <c r="BV1" s="168"/>
      <c r="BW1" s="168"/>
      <c r="BX1" s="168"/>
      <c r="BY1" s="168"/>
      <c r="BZ1" s="168"/>
      <c r="CA1" s="168"/>
      <c r="CB1" s="168"/>
      <c r="CC1" s="168"/>
      <c r="CD1" s="168"/>
      <c r="CE1" s="168"/>
      <c r="CF1" s="168"/>
      <c r="CG1" s="168"/>
      <c r="CH1" s="168"/>
      <c r="CI1" s="168"/>
      <c r="CJ1" s="168"/>
      <c r="CK1" s="168"/>
      <c r="CL1" s="168"/>
      <c r="CM1" s="168"/>
      <c r="CN1" s="168"/>
      <c r="CO1" s="168"/>
      <c r="CP1" s="168"/>
      <c r="CQ1" s="168"/>
      <c r="CR1" s="168"/>
      <c r="CS1" s="168"/>
      <c r="CT1" s="168"/>
      <c r="CU1" s="168"/>
      <c r="CV1" s="168"/>
      <c r="CW1" s="168"/>
      <c r="CX1" s="168"/>
      <c r="CY1" s="168"/>
      <c r="CZ1" s="168"/>
      <c r="DA1" s="168"/>
      <c r="DB1" s="168"/>
      <c r="DC1" s="168"/>
      <c r="DD1" s="168"/>
      <c r="DE1" s="168"/>
      <c r="DF1" s="168"/>
      <c r="DG1" s="168"/>
      <c r="DH1" s="168"/>
      <c r="DI1" s="168"/>
      <c r="DJ1" s="168"/>
      <c r="DK1" s="168"/>
      <c r="DL1" s="168"/>
      <c r="DM1" s="168"/>
      <c r="DN1" s="168"/>
      <c r="DO1" s="168"/>
      <c r="DP1" s="168"/>
      <c r="DQ1" s="168"/>
      <c r="DR1" s="168"/>
      <c r="DS1" s="169"/>
    </row>
    <row r="2" spans="1:220" s="2" customFormat="1" ht="15.75" thickBot="1" x14ac:dyDescent="0.3">
      <c r="A2" s="44">
        <v>46113</v>
      </c>
      <c r="B2" s="1"/>
      <c r="C2" s="20">
        <f ca="1">+SUM(C4:C43)</f>
        <v>20384301.169999998</v>
      </c>
      <c r="D2" s="41">
        <f ca="1">+SUM(D4:D43)</f>
        <v>50.42</v>
      </c>
      <c r="E2" s="24"/>
      <c r="F2" s="24"/>
      <c r="G2" s="105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6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v>1213387.2</v>
      </c>
      <c r="AO3" s="49"/>
      <c r="AP3" s="29"/>
      <c r="AQ3" s="22">
        <v>15</v>
      </c>
      <c r="AR3" s="28">
        <v>953345.57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2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B4" s="42">
        <f ca="1"/>
        <v>1</v>
      </c>
      <c r="C4" s="8">
        <f ca="1"/>
        <v>717341</v>
      </c>
      <c r="D4" s="59" t="str">
        <f ca="1"/>
        <v/>
      </c>
      <c r="E4" s="25" t="str">
        <f ca="1"/>
        <v>SI</v>
      </c>
      <c r="F4" s="43" t="str">
        <f t="shared" ref="F4:F71" ca="1" si="19">IF(B4-DAY(TODAY())&lt;0,"",B4-DAY(TODAY()))</f>
        <v/>
      </c>
      <c r="G4" s="107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Autonomo</v>
      </c>
      <c r="B5" s="42">
        <f ca="1"/>
        <v>1</v>
      </c>
      <c r="C5" s="8">
        <f ca="1"/>
        <v>90342</v>
      </c>
      <c r="D5" s="59" t="str">
        <f ca="1"/>
        <v/>
      </c>
      <c r="E5" s="25" t="str">
        <f ca="1"/>
        <v>SI</v>
      </c>
      <c r="F5" s="43" t="str">
        <f t="shared" ca="1" si="19"/>
        <v/>
      </c>
      <c r="G5" s="107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/>
      <c r="AS5" s="52"/>
      <c r="AT5" s="9"/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IVAN</v>
      </c>
      <c r="B6" s="42">
        <f ca="1"/>
        <v>1</v>
      </c>
      <c r="C6" s="8">
        <f ca="1"/>
        <v>52280</v>
      </c>
      <c r="D6" s="59" t="str">
        <f ca="1"/>
        <v/>
      </c>
      <c r="E6" s="3" t="str">
        <f ca="1"/>
        <v>SI</v>
      </c>
      <c r="F6" s="43" t="str">
        <f t="shared" ca="1" si="19"/>
        <v/>
      </c>
      <c r="G6" s="107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Monotributo Mayeski</v>
      </c>
      <c r="B7" s="42">
        <f ca="1"/>
        <v>1</v>
      </c>
      <c r="C7" s="8">
        <f ca="1"/>
        <v>52280</v>
      </c>
      <c r="D7" s="59" t="str">
        <f ca="1"/>
        <v/>
      </c>
      <c r="E7" s="3" t="str">
        <f ca="1"/>
        <v>SI</v>
      </c>
      <c r="F7" s="43" t="str">
        <f t="shared" ca="1" si="19"/>
        <v/>
      </c>
      <c r="G7" s="107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3">
        <f>1010000+288535</f>
        <v>1298535</v>
      </c>
      <c r="AC7" s="52"/>
      <c r="AD7" s="9" t="s">
        <v>48</v>
      </c>
      <c r="AE7" s="22">
        <v>6</v>
      </c>
      <c r="AF7" s="103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/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Monotributo David</v>
      </c>
      <c r="B8" s="42">
        <f ca="1"/>
        <v>1</v>
      </c>
      <c r="C8" s="8">
        <f ca="1"/>
        <v>42246</v>
      </c>
      <c r="D8" s="59" t="str">
        <f ca="1"/>
        <v/>
      </c>
      <c r="E8" s="3" t="str">
        <f ca="1"/>
        <v>SI</v>
      </c>
      <c r="F8" s="43" t="str">
        <f t="shared" ca="1" si="19"/>
        <v/>
      </c>
      <c r="G8" s="107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/>
      <c r="AQ8" s="22">
        <f>+AM8</f>
        <v>9</v>
      </c>
      <c r="AR8" s="8"/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Movistar</v>
      </c>
      <c r="B9" s="42">
        <f ca="1"/>
        <v>1</v>
      </c>
      <c r="C9" s="8">
        <f ca="1"/>
        <v>10350</v>
      </c>
      <c r="D9" s="59" t="str">
        <f ca="1"/>
        <v/>
      </c>
      <c r="E9" s="3" t="str">
        <f ca="1"/>
        <v>SI</v>
      </c>
      <c r="F9" s="43" t="str">
        <f t="shared" ca="1" si="19"/>
        <v/>
      </c>
      <c r="G9" s="107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7</v>
      </c>
      <c r="AN9" s="8">
        <f t="shared" ref="AN9" si="27">+AJ9</f>
        <v>40577.730000000003</v>
      </c>
      <c r="AO9" s="52"/>
      <c r="AP9" s="9"/>
      <c r="AQ9" s="22">
        <v>7</v>
      </c>
      <c r="AR9" s="8">
        <f t="shared" ref="AR9" si="28">+AN9</f>
        <v>40577.730000000003</v>
      </c>
      <c r="AS9" s="52"/>
      <c r="AT9" s="9"/>
      <c r="AU9" s="22">
        <v>7</v>
      </c>
      <c r="AV9" s="8">
        <f t="shared" ref="AV9" si="29">+AR9</f>
        <v>40577.730000000003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Victoria Seguros</v>
      </c>
      <c r="B10" s="42">
        <f ca="1"/>
        <v>1</v>
      </c>
      <c r="C10" s="8">
        <f ca="1"/>
        <v>123878</v>
      </c>
      <c r="D10" s="59" t="str">
        <f ca="1"/>
        <v/>
      </c>
      <c r="E10" s="3" t="str">
        <f ca="1"/>
        <v>SI</v>
      </c>
      <c r="F10" s="43" t="str">
        <f t="shared" ca="1" si="19"/>
        <v/>
      </c>
      <c r="G10" s="107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Aseg. Motovehicular</v>
      </c>
      <c r="B11" s="42">
        <f ca="1"/>
        <v>2</v>
      </c>
      <c r="C11" s="103">
        <f ca="1"/>
        <v>141512.71</v>
      </c>
      <c r="D11" s="134" t="str">
        <f ca="1"/>
        <v/>
      </c>
      <c r="E11" s="3" t="str">
        <f ca="1"/>
        <v>SI</v>
      </c>
      <c r="F11" s="141" t="str">
        <f t="shared" ca="1" si="19"/>
        <v/>
      </c>
      <c r="G11" s="136" t="str">
        <f t="shared" ca="1" si="20"/>
        <v>Ir</v>
      </c>
      <c r="H11" s="124">
        <f t="shared" si="23"/>
        <v>9</v>
      </c>
      <c r="I11" s="125" t="s">
        <v>80</v>
      </c>
      <c r="J11" s="123"/>
      <c r="K11" s="123">
        <v>14</v>
      </c>
      <c r="L11" s="121" t="s">
        <v>6</v>
      </c>
      <c r="M11" s="121" t="s">
        <v>12</v>
      </c>
      <c r="N11" s="126"/>
      <c r="O11" s="127">
        <v>14</v>
      </c>
      <c r="P11" s="128">
        <v>1668543.38</v>
      </c>
      <c r="Q11" s="129"/>
      <c r="R11" s="130" t="s">
        <v>48</v>
      </c>
      <c r="S11" s="127">
        <f>+O11</f>
        <v>14</v>
      </c>
      <c r="T11" s="122">
        <v>1674547</v>
      </c>
      <c r="U11" s="129"/>
      <c r="V11" s="131" t="s">
        <v>48</v>
      </c>
      <c r="W11" s="127">
        <f>+S11</f>
        <v>14</v>
      </c>
      <c r="X11" s="122">
        <f t="shared" ref="X11:X22" si="30">+T11</f>
        <v>1674547</v>
      </c>
      <c r="Y11" s="129"/>
      <c r="Z11" s="131" t="s">
        <v>48</v>
      </c>
      <c r="AA11" s="127">
        <f>+W11</f>
        <v>14</v>
      </c>
      <c r="AB11" s="122">
        <v>1582000</v>
      </c>
      <c r="AC11" s="129"/>
      <c r="AD11" s="131" t="s">
        <v>48</v>
      </c>
      <c r="AE11" s="127">
        <f>+AA11</f>
        <v>14</v>
      </c>
      <c r="AF11" s="122">
        <f t="shared" ref="AF11:AF19" si="31">+AB11</f>
        <v>1582000</v>
      </c>
      <c r="AG11" s="129"/>
      <c r="AH11" s="131" t="s">
        <v>48</v>
      </c>
      <c r="AI11" s="127">
        <f>+AE11</f>
        <v>14</v>
      </c>
      <c r="AJ11" s="122">
        <f t="shared" ref="AJ11:AJ19" si="32">+AF11</f>
        <v>1582000</v>
      </c>
      <c r="AK11" s="129"/>
      <c r="AL11" s="131" t="s">
        <v>48</v>
      </c>
      <c r="AM11" s="127">
        <f>+AI11</f>
        <v>14</v>
      </c>
      <c r="AN11" s="122">
        <f t="shared" ref="AN11:AN20" si="33">+AJ11</f>
        <v>1582000</v>
      </c>
      <c r="AO11" s="129"/>
      <c r="AP11" s="9" t="s">
        <v>48</v>
      </c>
      <c r="AQ11" s="127">
        <f>+AM11</f>
        <v>14</v>
      </c>
      <c r="AR11" s="122">
        <v>1437968.04</v>
      </c>
      <c r="AS11" s="129"/>
      <c r="AT11" s="131"/>
      <c r="AU11" s="127">
        <f>+AQ11</f>
        <v>14</v>
      </c>
      <c r="AV11" s="122">
        <f t="shared" ref="AV11:AV20" si="34">+AR11</f>
        <v>1437968.04</v>
      </c>
      <c r="AW11" s="129"/>
      <c r="AX11" s="131"/>
      <c r="AY11" s="127">
        <f>+AU11</f>
        <v>14</v>
      </c>
      <c r="AZ11" s="122">
        <v>1668543.38</v>
      </c>
      <c r="BA11" s="129"/>
      <c r="BB11" s="131"/>
      <c r="BC11" s="127">
        <f>+AY11</f>
        <v>14</v>
      </c>
      <c r="BD11" s="122">
        <v>1668543.38</v>
      </c>
      <c r="BE11" s="129"/>
      <c r="BF11" s="131"/>
      <c r="BG11" s="127">
        <f>+BC11</f>
        <v>14</v>
      </c>
      <c r="BH11" s="122">
        <v>1668543.38</v>
      </c>
      <c r="BI11" s="129"/>
      <c r="BJ11" s="131"/>
      <c r="BK11" s="127">
        <f>+BG11</f>
        <v>14</v>
      </c>
      <c r="BL11" s="122">
        <v>1668543.38</v>
      </c>
      <c r="BM11" s="129"/>
      <c r="BN11" s="131"/>
      <c r="BO11" s="127">
        <f>+BK11</f>
        <v>14</v>
      </c>
      <c r="BP11" s="122">
        <v>1668543.38</v>
      </c>
      <c r="BQ11" s="129"/>
      <c r="BR11" s="131"/>
      <c r="BS11" s="127">
        <f>+BO11</f>
        <v>14</v>
      </c>
      <c r="BT11" s="122">
        <v>1668543.38</v>
      </c>
      <c r="BU11" s="129"/>
      <c r="BV11" s="131"/>
      <c r="BW11" s="127">
        <f>+BS11</f>
        <v>14</v>
      </c>
      <c r="BX11" s="122">
        <v>1668543.38</v>
      </c>
      <c r="BY11" s="129"/>
      <c r="BZ11" s="131"/>
      <c r="CA11" s="127">
        <f>+BW11</f>
        <v>14</v>
      </c>
      <c r="CB11" s="122">
        <v>1668543.38</v>
      </c>
      <c r="CC11" s="122"/>
      <c r="CD11" s="129"/>
      <c r="CE11" s="127">
        <f>+CA11</f>
        <v>14</v>
      </c>
      <c r="CF11" s="122">
        <v>1668543.38</v>
      </c>
      <c r="CG11" s="103"/>
      <c r="CH11" s="143"/>
      <c r="CI11" s="22"/>
      <c r="CJ11" s="103"/>
      <c r="CK11" s="103"/>
      <c r="CL11" s="143"/>
      <c r="FF11" s="139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40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Personal Flow</v>
      </c>
      <c r="B12" s="42">
        <f ca="1"/>
        <v>2</v>
      </c>
      <c r="C12" s="103">
        <f ca="1"/>
        <v>71670</v>
      </c>
      <c r="D12" s="134" t="str">
        <f ca="1"/>
        <v/>
      </c>
      <c r="E12" s="3" t="str">
        <f ca="1"/>
        <v/>
      </c>
      <c r="F12" s="141" t="str">
        <f t="shared" ca="1" si="19"/>
        <v/>
      </c>
      <c r="G12" s="136" t="str">
        <f t="shared" ca="1" si="20"/>
        <v>Ir</v>
      </c>
      <c r="H12" s="124">
        <f t="shared" si="23"/>
        <v>10</v>
      </c>
      <c r="I12" s="125" t="s">
        <v>41</v>
      </c>
      <c r="J12" s="123"/>
      <c r="K12" s="123">
        <v>24</v>
      </c>
      <c r="L12" s="121" t="s">
        <v>7</v>
      </c>
      <c r="M12" s="121" t="s">
        <v>12</v>
      </c>
      <c r="N12" s="126"/>
      <c r="O12" s="127">
        <v>24</v>
      </c>
      <c r="P12" s="122">
        <v>889000</v>
      </c>
      <c r="Q12" s="129"/>
      <c r="R12" s="131" t="s">
        <v>48</v>
      </c>
      <c r="S12" s="127">
        <f t="shared" ref="S12:S27" si="35">+O12</f>
        <v>24</v>
      </c>
      <c r="T12" s="122">
        <f t="shared" ref="T12:T22" si="36">+P12</f>
        <v>889000</v>
      </c>
      <c r="U12" s="129"/>
      <c r="V12" s="131" t="s">
        <v>48</v>
      </c>
      <c r="W12" s="127">
        <f t="shared" ref="W12:W27" si="37">+S12</f>
        <v>24</v>
      </c>
      <c r="X12" s="122">
        <f t="shared" si="30"/>
        <v>889000</v>
      </c>
      <c r="Y12" s="129"/>
      <c r="Z12" s="131" t="s">
        <v>48</v>
      </c>
      <c r="AA12" s="127">
        <f t="shared" ref="AA12:AA22" si="38">+W12</f>
        <v>24</v>
      </c>
      <c r="AB12" s="122">
        <v>879150</v>
      </c>
      <c r="AC12" s="129"/>
      <c r="AD12" s="131" t="s">
        <v>48</v>
      </c>
      <c r="AE12" s="127">
        <f t="shared" ref="AE12:AE27" si="39">+AA12</f>
        <v>24</v>
      </c>
      <c r="AF12" s="122">
        <v>872520</v>
      </c>
      <c r="AG12" s="129"/>
      <c r="AH12" s="131" t="s">
        <v>48</v>
      </c>
      <c r="AI12" s="127">
        <f t="shared" ref="AI12:AI24" si="40">+AE12</f>
        <v>24</v>
      </c>
      <c r="AJ12" s="122">
        <f t="shared" si="32"/>
        <v>872520</v>
      </c>
      <c r="AK12" s="129"/>
      <c r="AL12" s="131" t="s">
        <v>48</v>
      </c>
      <c r="AM12" s="127">
        <f t="shared" ref="AM12:AM20" si="41">+AI12</f>
        <v>24</v>
      </c>
      <c r="AN12" s="122">
        <f t="shared" si="33"/>
        <v>872520</v>
      </c>
      <c r="AO12" s="129"/>
      <c r="AP12" s="131"/>
      <c r="AQ12" s="127">
        <f t="shared" ref="AQ12:AQ27" si="42">+AM12</f>
        <v>24</v>
      </c>
      <c r="AR12" s="122">
        <f t="shared" ref="AR12:AR20" si="43">+AN12</f>
        <v>872520</v>
      </c>
      <c r="AS12" s="129"/>
      <c r="AT12" s="131"/>
      <c r="AU12" s="127">
        <f t="shared" ref="AU12:AU27" si="44">+AQ12</f>
        <v>24</v>
      </c>
      <c r="AV12" s="122">
        <f t="shared" si="34"/>
        <v>872520</v>
      </c>
      <c r="AW12" s="129"/>
      <c r="AX12" s="131"/>
      <c r="AY12" s="127">
        <f t="shared" ref="AY12:AY20" si="45">+AU12</f>
        <v>24</v>
      </c>
      <c r="AZ12" s="122">
        <f t="shared" ref="AZ12:AZ20" si="46">+AV12</f>
        <v>872520</v>
      </c>
      <c r="BA12" s="129"/>
      <c r="BB12" s="131"/>
      <c r="BC12" s="127">
        <f t="shared" ref="BC12:BC20" si="47">+AY12</f>
        <v>24</v>
      </c>
      <c r="BD12" s="122">
        <f t="shared" ref="BD12:BD20" si="48">+AZ12</f>
        <v>872520</v>
      </c>
      <c r="BE12" s="129"/>
      <c r="BF12" s="131"/>
      <c r="BG12" s="127">
        <f t="shared" ref="BG12:BG20" si="49">+BC12</f>
        <v>24</v>
      </c>
      <c r="BH12" s="122">
        <f t="shared" ref="BH12:BH20" si="50">+BD12</f>
        <v>872520</v>
      </c>
      <c r="BI12" s="129"/>
      <c r="BJ12" s="131"/>
      <c r="BK12" s="127">
        <f t="shared" ref="BK12:BK20" si="51">+BG12</f>
        <v>24</v>
      </c>
      <c r="BL12" s="122">
        <f t="shared" ref="BL12:BL20" si="52">+BH12</f>
        <v>872520</v>
      </c>
      <c r="BM12" s="143"/>
      <c r="BN12" s="138"/>
      <c r="BO12" s="22"/>
      <c r="BP12" s="103"/>
      <c r="BQ12" s="143"/>
      <c r="BR12" s="138"/>
      <c r="BS12" s="22"/>
      <c r="BT12" s="103"/>
      <c r="BU12" s="143"/>
      <c r="BV12" s="138"/>
      <c r="BW12" s="22"/>
      <c r="BX12" s="103"/>
      <c r="BY12" s="143"/>
      <c r="BZ12" s="138"/>
      <c r="CA12" s="22"/>
      <c r="CB12" s="103"/>
      <c r="CC12" s="103"/>
      <c r="CD12" s="143"/>
      <c r="CE12" s="22"/>
      <c r="CF12" s="103"/>
      <c r="CG12" s="103"/>
      <c r="CH12" s="143"/>
      <c r="CI12" s="22"/>
      <c r="CJ12" s="103"/>
      <c r="CK12" s="103"/>
      <c r="CL12" s="143"/>
      <c r="FF12" s="139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40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Galicia + MASTER</v>
      </c>
      <c r="B13" s="42">
        <f ca="1"/>
        <v>6</v>
      </c>
      <c r="C13" s="103">
        <f ca="1"/>
        <v>40000</v>
      </c>
      <c r="D13" s="134" t="str">
        <f ca="1"/>
        <v/>
      </c>
      <c r="E13" s="3" t="str">
        <f ca="1"/>
        <v>SI</v>
      </c>
      <c r="F13" s="141" t="str">
        <f t="shared" ca="1" si="19"/>
        <v/>
      </c>
      <c r="G13" s="136" t="str">
        <f t="shared" ca="1" si="20"/>
        <v>Ir</v>
      </c>
      <c r="H13" s="124">
        <f t="shared" si="23"/>
        <v>11</v>
      </c>
      <c r="I13" s="125" t="s">
        <v>42</v>
      </c>
      <c r="J13" s="123"/>
      <c r="K13" s="123">
        <v>14</v>
      </c>
      <c r="L13" s="121" t="s">
        <v>10</v>
      </c>
      <c r="M13" s="121" t="s">
        <v>12</v>
      </c>
      <c r="N13" s="126"/>
      <c r="O13" s="127">
        <v>14</v>
      </c>
      <c r="P13" s="128">
        <v>1325515.1100000001</v>
      </c>
      <c r="Q13" s="129"/>
      <c r="R13" s="131" t="s">
        <v>48</v>
      </c>
      <c r="S13" s="127">
        <f t="shared" si="35"/>
        <v>14</v>
      </c>
      <c r="T13" s="122">
        <v>1321310</v>
      </c>
      <c r="U13" s="129"/>
      <c r="V13" s="131" t="s">
        <v>48</v>
      </c>
      <c r="W13" s="127">
        <f t="shared" si="37"/>
        <v>14</v>
      </c>
      <c r="X13" s="122">
        <f t="shared" si="30"/>
        <v>1321310</v>
      </c>
      <c r="Y13" s="129"/>
      <c r="Z13" s="131" t="s">
        <v>48</v>
      </c>
      <c r="AA13" s="127">
        <v>19</v>
      </c>
      <c r="AB13" s="122">
        <v>1440016.96</v>
      </c>
      <c r="AC13" s="129"/>
      <c r="AD13" s="131" t="s">
        <v>48</v>
      </c>
      <c r="AE13" s="127">
        <f t="shared" si="39"/>
        <v>19</v>
      </c>
      <c r="AF13" s="122">
        <v>1316757</v>
      </c>
      <c r="AG13" s="129"/>
      <c r="AH13" s="131" t="s">
        <v>48</v>
      </c>
      <c r="AI13" s="127">
        <f t="shared" si="40"/>
        <v>19</v>
      </c>
      <c r="AJ13" s="122">
        <f t="shared" si="32"/>
        <v>1316757</v>
      </c>
      <c r="AK13" s="129"/>
      <c r="AL13" s="131" t="s">
        <v>48</v>
      </c>
      <c r="AM13" s="127">
        <f t="shared" si="41"/>
        <v>19</v>
      </c>
      <c r="AN13" s="122">
        <f t="shared" si="33"/>
        <v>1316757</v>
      </c>
      <c r="AO13" s="129"/>
      <c r="AP13" s="131"/>
      <c r="AQ13" s="127">
        <f t="shared" si="42"/>
        <v>19</v>
      </c>
      <c r="AR13" s="122">
        <f t="shared" si="43"/>
        <v>1316757</v>
      </c>
      <c r="AS13" s="129"/>
      <c r="AT13" s="131"/>
      <c r="AU13" s="127">
        <f t="shared" si="44"/>
        <v>19</v>
      </c>
      <c r="AV13" s="122">
        <f t="shared" si="34"/>
        <v>1316757</v>
      </c>
      <c r="AW13" s="129"/>
      <c r="AX13" s="131"/>
      <c r="AY13" s="127">
        <f t="shared" si="45"/>
        <v>19</v>
      </c>
      <c r="AZ13" s="122">
        <f t="shared" si="46"/>
        <v>1316757</v>
      </c>
      <c r="BA13" s="129"/>
      <c r="BB13" s="131"/>
      <c r="BC13" s="127">
        <f t="shared" si="47"/>
        <v>19</v>
      </c>
      <c r="BD13" s="122">
        <f t="shared" si="48"/>
        <v>1316757</v>
      </c>
      <c r="BE13" s="129"/>
      <c r="BF13" s="131"/>
      <c r="BG13" s="127">
        <f t="shared" si="49"/>
        <v>19</v>
      </c>
      <c r="BH13" s="122">
        <f t="shared" si="50"/>
        <v>1316757</v>
      </c>
      <c r="BI13" s="129"/>
      <c r="BJ13" s="131"/>
      <c r="BK13" s="127">
        <f t="shared" si="51"/>
        <v>19</v>
      </c>
      <c r="BL13" s="122">
        <f t="shared" si="52"/>
        <v>1316757</v>
      </c>
      <c r="BM13" s="129"/>
      <c r="BN13" s="131"/>
      <c r="BO13" s="127">
        <f t="shared" ref="BO13:BO20" si="53">+BK13</f>
        <v>19</v>
      </c>
      <c r="BP13" s="122">
        <f t="shared" ref="BP13:BP20" si="54">+BL13</f>
        <v>1316757</v>
      </c>
      <c r="BQ13" s="129"/>
      <c r="BR13" s="131"/>
      <c r="BS13" s="127">
        <f t="shared" ref="BS13:BS20" si="55">+BO13</f>
        <v>19</v>
      </c>
      <c r="BT13" s="122">
        <f t="shared" ref="BT13:BT20" si="56">+BP13</f>
        <v>1316757</v>
      </c>
      <c r="BU13" s="129"/>
      <c r="BV13" s="131"/>
      <c r="BW13" s="127">
        <f t="shared" ref="BW13" si="57">+BS13</f>
        <v>19</v>
      </c>
      <c r="BX13" s="122">
        <f t="shared" ref="BX13" si="58">+BT13</f>
        <v>1316757</v>
      </c>
      <c r="BY13" s="129"/>
      <c r="BZ13" s="131"/>
      <c r="CA13" s="127">
        <f t="shared" ref="CA13" si="59">+BW13</f>
        <v>19</v>
      </c>
      <c r="CB13" s="122">
        <f t="shared" ref="CB13" si="60">+BX13</f>
        <v>1316757</v>
      </c>
      <c r="CC13" s="122"/>
      <c r="CD13" s="129"/>
      <c r="CE13" s="127">
        <f t="shared" ref="CE13" si="61">+CA13</f>
        <v>19</v>
      </c>
      <c r="CF13" s="122">
        <f t="shared" ref="CF13" si="62">+CB13</f>
        <v>1316757</v>
      </c>
      <c r="CG13" s="103"/>
      <c r="CH13" s="143"/>
      <c r="CI13" s="22"/>
      <c r="CJ13" s="103"/>
      <c r="CK13" s="103"/>
      <c r="CL13" s="143"/>
      <c r="CM13" s="22"/>
      <c r="CN13" s="103"/>
      <c r="CO13" s="103"/>
      <c r="CP13" s="143"/>
      <c r="CQ13" s="22"/>
      <c r="CR13" s="103"/>
      <c r="CS13" s="103"/>
      <c r="CT13" s="22"/>
      <c r="CU13" s="103"/>
      <c r="CV13" s="103"/>
      <c r="CW13" s="143"/>
      <c r="FF13" s="139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40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ICBC</v>
      </c>
      <c r="B14" s="42">
        <f ca="1"/>
        <v>7</v>
      </c>
      <c r="C14" s="103">
        <f ca="1"/>
        <v>40577.730000000003</v>
      </c>
      <c r="D14" s="134" t="str">
        <f ca="1"/>
        <v/>
      </c>
      <c r="E14" s="3" t="str">
        <f ca="1"/>
        <v/>
      </c>
      <c r="F14" s="141" t="str">
        <f t="shared" ca="1" si="19"/>
        <v/>
      </c>
      <c r="G14" s="136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5"/>
        <v>16</v>
      </c>
      <c r="T14" s="8">
        <f t="shared" si="36"/>
        <v>446304</v>
      </c>
      <c r="U14" s="52"/>
      <c r="V14" s="9" t="s">
        <v>48</v>
      </c>
      <c r="W14" s="22">
        <f t="shared" si="37"/>
        <v>16</v>
      </c>
      <c r="X14" s="8">
        <f t="shared" si="30"/>
        <v>446304</v>
      </c>
      <c r="Y14" s="52"/>
      <c r="Z14" s="9" t="s">
        <v>48</v>
      </c>
      <c r="AA14" s="22">
        <f t="shared" si="38"/>
        <v>16</v>
      </c>
      <c r="AB14" s="8">
        <f t="shared" ref="AB14:AB22" si="63">+X14</f>
        <v>446304</v>
      </c>
      <c r="AC14" s="52"/>
      <c r="AD14" s="9" t="s">
        <v>48</v>
      </c>
      <c r="AE14" s="22">
        <f t="shared" si="39"/>
        <v>16</v>
      </c>
      <c r="AF14" s="8">
        <f t="shared" si="31"/>
        <v>446304</v>
      </c>
      <c r="AG14" s="52"/>
      <c r="AH14" s="9" t="s">
        <v>48</v>
      </c>
      <c r="AI14" s="22">
        <f t="shared" si="40"/>
        <v>16</v>
      </c>
      <c r="AJ14" s="8">
        <f t="shared" si="32"/>
        <v>446304</v>
      </c>
      <c r="AK14" s="52"/>
      <c r="AL14" s="9" t="s">
        <v>48</v>
      </c>
      <c r="AM14" s="22">
        <f t="shared" si="41"/>
        <v>16</v>
      </c>
      <c r="AN14" s="8">
        <f t="shared" si="33"/>
        <v>446304</v>
      </c>
      <c r="AO14" s="52"/>
      <c r="AP14" s="9" t="s">
        <v>48</v>
      </c>
      <c r="AQ14" s="22">
        <f t="shared" si="42"/>
        <v>16</v>
      </c>
      <c r="AR14" s="8">
        <f t="shared" si="43"/>
        <v>446304</v>
      </c>
      <c r="AS14" s="52"/>
      <c r="AT14" s="9"/>
      <c r="AU14" s="22">
        <f t="shared" si="44"/>
        <v>16</v>
      </c>
      <c r="AV14" s="8">
        <f t="shared" si="34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3"/>
      <c r="CK14" s="103"/>
      <c r="CL14" s="143"/>
      <c r="FF14" s="139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40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VISA</v>
      </c>
      <c r="B15" s="42">
        <f ca="1"/>
        <v>8</v>
      </c>
      <c r="C15" s="103">
        <f ca="1"/>
        <v>1358053.78</v>
      </c>
      <c r="D15" s="134">
        <f ca="1"/>
        <v>50.42</v>
      </c>
      <c r="E15" s="3" t="str">
        <f ca="1"/>
        <v>SI</v>
      </c>
      <c r="F15" s="141" t="str">
        <f t="shared" ca="1" si="19"/>
        <v/>
      </c>
      <c r="G15" s="136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5"/>
        <v>16</v>
      </c>
      <c r="T15" s="8">
        <f t="shared" si="36"/>
        <v>410336</v>
      </c>
      <c r="U15" s="52"/>
      <c r="V15" s="9" t="s">
        <v>48</v>
      </c>
      <c r="W15" s="22">
        <f t="shared" si="37"/>
        <v>16</v>
      </c>
      <c r="X15" s="8">
        <f t="shared" si="30"/>
        <v>410336</v>
      </c>
      <c r="Y15" s="52"/>
      <c r="Z15" s="9" t="s">
        <v>48</v>
      </c>
      <c r="AA15" s="22">
        <f t="shared" si="38"/>
        <v>16</v>
      </c>
      <c r="AB15" s="8">
        <f t="shared" si="63"/>
        <v>410336</v>
      </c>
      <c r="AC15" s="52"/>
      <c r="AD15" s="9" t="s">
        <v>48</v>
      </c>
      <c r="AE15" s="22">
        <f t="shared" si="39"/>
        <v>16</v>
      </c>
      <c r="AF15" s="8">
        <f t="shared" si="31"/>
        <v>410336</v>
      </c>
      <c r="AG15" s="52"/>
      <c r="AH15" s="9" t="s">
        <v>48</v>
      </c>
      <c r="AI15" s="22">
        <f t="shared" si="40"/>
        <v>16</v>
      </c>
      <c r="AJ15" s="8">
        <f t="shared" si="32"/>
        <v>410336</v>
      </c>
      <c r="AK15" s="52"/>
      <c r="AL15" s="9" t="s">
        <v>48</v>
      </c>
      <c r="AM15" s="22">
        <f t="shared" si="41"/>
        <v>16</v>
      </c>
      <c r="AN15" s="8">
        <f t="shared" si="33"/>
        <v>410336</v>
      </c>
      <c r="AO15" s="52"/>
      <c r="AP15" s="9" t="s">
        <v>48</v>
      </c>
      <c r="AQ15" s="22">
        <f t="shared" si="42"/>
        <v>16</v>
      </c>
      <c r="AR15" s="8">
        <f t="shared" si="43"/>
        <v>410336</v>
      </c>
      <c r="AS15" s="52"/>
      <c r="AT15" s="9"/>
      <c r="AU15" s="22">
        <f t="shared" si="44"/>
        <v>16</v>
      </c>
      <c r="AV15" s="8">
        <f t="shared" si="34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3"/>
      <c r="CK15" s="103"/>
      <c r="CL15" s="143"/>
      <c r="FF15" s="139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40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Tarjeta Santander Rio - AMEX</v>
      </c>
      <c r="B16" s="42">
        <f ca="1"/>
        <v>9</v>
      </c>
      <c r="C16" s="103">
        <f ca="1"/>
        <v>41238.629999999997</v>
      </c>
      <c r="D16" s="134" t="str">
        <f ca="1"/>
        <v/>
      </c>
      <c r="E16" s="3" t="str">
        <f ca="1"/>
        <v/>
      </c>
      <c r="F16" s="141" t="str">
        <f t="shared" ca="1" si="19"/>
        <v/>
      </c>
      <c r="G16" s="136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5"/>
        <v>10</v>
      </c>
      <c r="T16" s="8">
        <f t="shared" si="36"/>
        <v>500000</v>
      </c>
      <c r="U16" s="52"/>
      <c r="V16" s="9" t="s">
        <v>48</v>
      </c>
      <c r="W16" s="22">
        <f t="shared" si="37"/>
        <v>10</v>
      </c>
      <c r="X16" s="8">
        <f t="shared" si="30"/>
        <v>500000</v>
      </c>
      <c r="Y16" s="52"/>
      <c r="Z16" s="9" t="s">
        <v>48</v>
      </c>
      <c r="AA16" s="22">
        <f t="shared" si="38"/>
        <v>10</v>
      </c>
      <c r="AB16" s="8">
        <v>600000</v>
      </c>
      <c r="AC16" s="52"/>
      <c r="AD16" s="9" t="s">
        <v>48</v>
      </c>
      <c r="AE16" s="22">
        <f t="shared" si="39"/>
        <v>10</v>
      </c>
      <c r="AF16" s="8">
        <f t="shared" si="31"/>
        <v>600000</v>
      </c>
      <c r="AG16" s="52"/>
      <c r="AH16" s="9" t="s">
        <v>48</v>
      </c>
      <c r="AI16" s="22">
        <f t="shared" si="40"/>
        <v>10</v>
      </c>
      <c r="AJ16" s="8">
        <f t="shared" si="32"/>
        <v>600000</v>
      </c>
      <c r="AK16" s="52"/>
      <c r="AL16" s="9" t="s">
        <v>48</v>
      </c>
      <c r="AM16" s="22">
        <f t="shared" si="41"/>
        <v>10</v>
      </c>
      <c r="AN16" s="8">
        <f t="shared" si="33"/>
        <v>600000</v>
      </c>
      <c r="AO16" s="52"/>
      <c r="AP16" s="9" t="s">
        <v>48</v>
      </c>
      <c r="AQ16" s="22">
        <f t="shared" si="42"/>
        <v>10</v>
      </c>
      <c r="AR16" s="8">
        <f t="shared" si="43"/>
        <v>600000</v>
      </c>
      <c r="AS16" s="52"/>
      <c r="AT16" s="9"/>
      <c r="AU16" s="22">
        <f t="shared" si="44"/>
        <v>10</v>
      </c>
      <c r="AV16" s="8">
        <f t="shared" si="34"/>
        <v>600000</v>
      </c>
      <c r="AW16" s="52"/>
      <c r="AX16" s="9"/>
      <c r="AY16" s="22">
        <f t="shared" si="45"/>
        <v>10</v>
      </c>
      <c r="AZ16" s="8">
        <f t="shared" si="46"/>
        <v>600000</v>
      </c>
      <c r="BA16" s="52"/>
      <c r="BB16" s="9"/>
      <c r="BC16" s="22">
        <f t="shared" si="47"/>
        <v>10</v>
      </c>
      <c r="BD16" s="8">
        <f t="shared" si="48"/>
        <v>600000</v>
      </c>
      <c r="BE16" s="52"/>
      <c r="BF16" s="9"/>
      <c r="BG16" s="22">
        <f t="shared" si="49"/>
        <v>10</v>
      </c>
      <c r="BH16" s="8">
        <f t="shared" si="50"/>
        <v>600000</v>
      </c>
      <c r="BI16" s="52"/>
      <c r="BJ16" s="9"/>
      <c r="BK16" s="22">
        <f t="shared" si="51"/>
        <v>10</v>
      </c>
      <c r="BL16" s="8">
        <f t="shared" si="52"/>
        <v>600000</v>
      </c>
      <c r="BM16" s="52"/>
      <c r="BN16" s="9"/>
      <c r="BO16" s="22">
        <f t="shared" si="53"/>
        <v>10</v>
      </c>
      <c r="BP16" s="8">
        <f t="shared" si="54"/>
        <v>600000</v>
      </c>
      <c r="BQ16" s="52"/>
      <c r="BR16" s="9"/>
      <c r="BS16" s="22">
        <f t="shared" si="55"/>
        <v>10</v>
      </c>
      <c r="BT16" s="8">
        <f t="shared" si="56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3"/>
      <c r="CK16" s="103"/>
      <c r="CL16" s="143"/>
      <c r="FF16" s="139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40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Distribuidora</v>
      </c>
      <c r="B17" s="42">
        <f ca="1"/>
        <v>10</v>
      </c>
      <c r="C17" s="103">
        <f ca="1"/>
        <v>600000</v>
      </c>
      <c r="D17" s="134" t="str">
        <f ca="1"/>
        <v/>
      </c>
      <c r="E17" s="3" t="str">
        <f ca="1"/>
        <v>SI</v>
      </c>
      <c r="F17" s="141" t="str">
        <f t="shared" ca="1" si="19"/>
        <v/>
      </c>
      <c r="G17" s="136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5"/>
        <v>10</v>
      </c>
      <c r="T17" s="8">
        <f t="shared" si="36"/>
        <v>250000</v>
      </c>
      <c r="U17" s="52"/>
      <c r="V17" s="9" t="s">
        <v>48</v>
      </c>
      <c r="W17" s="22">
        <f t="shared" si="37"/>
        <v>10</v>
      </c>
      <c r="X17" s="8">
        <f t="shared" si="30"/>
        <v>250000</v>
      </c>
      <c r="Y17" s="52"/>
      <c r="Z17" s="9" t="s">
        <v>48</v>
      </c>
      <c r="AA17" s="22">
        <f t="shared" si="38"/>
        <v>10</v>
      </c>
      <c r="AB17" s="8">
        <f t="shared" si="63"/>
        <v>250000</v>
      </c>
      <c r="AC17" s="52"/>
      <c r="AD17" s="9" t="s">
        <v>48</v>
      </c>
      <c r="AE17" s="22">
        <f t="shared" si="39"/>
        <v>10</v>
      </c>
      <c r="AF17" s="8">
        <v>350000</v>
      </c>
      <c r="AG17" s="52"/>
      <c r="AH17" s="9" t="s">
        <v>48</v>
      </c>
      <c r="AI17" s="22">
        <f t="shared" si="40"/>
        <v>10</v>
      </c>
      <c r="AJ17" s="8">
        <f t="shared" si="32"/>
        <v>350000</v>
      </c>
      <c r="AK17" s="52"/>
      <c r="AL17" s="9" t="s">
        <v>48</v>
      </c>
      <c r="AM17" s="22">
        <f t="shared" si="41"/>
        <v>10</v>
      </c>
      <c r="AN17" s="8">
        <f t="shared" si="33"/>
        <v>350000</v>
      </c>
      <c r="AO17" s="52"/>
      <c r="AP17" s="9" t="s">
        <v>48</v>
      </c>
      <c r="AQ17" s="22">
        <f t="shared" si="42"/>
        <v>10</v>
      </c>
      <c r="AR17" s="8">
        <f t="shared" si="43"/>
        <v>350000</v>
      </c>
      <c r="AS17" s="52"/>
      <c r="AT17" s="9"/>
      <c r="AU17" s="22">
        <f t="shared" si="44"/>
        <v>10</v>
      </c>
      <c r="AV17" s="8">
        <f t="shared" si="34"/>
        <v>350000</v>
      </c>
      <c r="AW17" s="52"/>
      <c r="AX17" s="9"/>
      <c r="AY17" s="22">
        <f t="shared" si="45"/>
        <v>10</v>
      </c>
      <c r="AZ17" s="8">
        <f t="shared" si="46"/>
        <v>350000</v>
      </c>
      <c r="BA17" s="52"/>
      <c r="BB17" s="9"/>
      <c r="BC17" s="22">
        <f t="shared" si="47"/>
        <v>10</v>
      </c>
      <c r="BD17" s="8">
        <f t="shared" si="48"/>
        <v>350000</v>
      </c>
      <c r="BE17" s="52"/>
      <c r="BF17" s="9"/>
      <c r="BG17" s="22">
        <f t="shared" si="49"/>
        <v>10</v>
      </c>
      <c r="BH17" s="8">
        <f t="shared" si="50"/>
        <v>350000</v>
      </c>
      <c r="BI17" s="52"/>
      <c r="BJ17" s="9"/>
      <c r="BK17" s="22">
        <f t="shared" si="51"/>
        <v>10</v>
      </c>
      <c r="BL17" s="8">
        <f t="shared" si="52"/>
        <v>350000</v>
      </c>
      <c r="BM17" s="52"/>
      <c r="BN17" s="9"/>
      <c r="BO17" s="22">
        <f t="shared" si="53"/>
        <v>10</v>
      </c>
      <c r="BP17" s="8">
        <f t="shared" si="54"/>
        <v>350000</v>
      </c>
      <c r="BQ17" s="52"/>
      <c r="BR17" s="9"/>
      <c r="BS17" s="22">
        <f t="shared" si="55"/>
        <v>10</v>
      </c>
      <c r="BT17" s="8">
        <f t="shared" si="56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3"/>
      <c r="CK17" s="103"/>
      <c r="CL17" s="143"/>
      <c r="FF17" s="139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40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Alquiler Casa</v>
      </c>
      <c r="B18" s="42">
        <f ca="1"/>
        <v>10</v>
      </c>
      <c r="C18" s="142">
        <f ca="1"/>
        <v>350000</v>
      </c>
      <c r="D18" s="134" t="str">
        <f ca="1"/>
        <v/>
      </c>
      <c r="E18" s="135" t="str">
        <f ca="1"/>
        <v>SI</v>
      </c>
      <c r="F18" s="141" t="str">
        <f t="shared" ca="1" si="19"/>
        <v/>
      </c>
      <c r="G18" s="136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5"/>
        <v>10</v>
      </c>
      <c r="T18" s="8">
        <f t="shared" si="36"/>
        <v>450000</v>
      </c>
      <c r="U18" s="52"/>
      <c r="V18" s="9" t="s">
        <v>48</v>
      </c>
      <c r="W18" s="22">
        <f t="shared" si="37"/>
        <v>10</v>
      </c>
      <c r="X18" s="8">
        <f t="shared" si="30"/>
        <v>450000</v>
      </c>
      <c r="Y18" s="52"/>
      <c r="Z18" s="9" t="s">
        <v>48</v>
      </c>
      <c r="AA18" s="22">
        <f t="shared" si="38"/>
        <v>10</v>
      </c>
      <c r="AB18" s="8">
        <v>500000</v>
      </c>
      <c r="AC18" s="52"/>
      <c r="AD18" s="9" t="s">
        <v>48</v>
      </c>
      <c r="AE18" s="22">
        <f t="shared" si="39"/>
        <v>10</v>
      </c>
      <c r="AF18" s="8">
        <v>550000</v>
      </c>
      <c r="AG18" s="52"/>
      <c r="AH18" s="9" t="s">
        <v>48</v>
      </c>
      <c r="AI18" s="22">
        <f t="shared" si="40"/>
        <v>10</v>
      </c>
      <c r="AJ18" s="8">
        <f>+AF18-125000</f>
        <v>425000</v>
      </c>
      <c r="AK18" s="50"/>
      <c r="AL18" s="9" t="s">
        <v>48</v>
      </c>
      <c r="AM18" s="22">
        <f t="shared" si="41"/>
        <v>10</v>
      </c>
      <c r="AN18" s="8">
        <v>430000</v>
      </c>
      <c r="AO18" s="52"/>
      <c r="AP18" s="9" t="s">
        <v>48</v>
      </c>
      <c r="AQ18" s="22">
        <f t="shared" si="42"/>
        <v>10</v>
      </c>
      <c r="AR18" s="8">
        <f t="shared" si="43"/>
        <v>430000</v>
      </c>
      <c r="AS18" s="52"/>
      <c r="AT18" s="9"/>
      <c r="AU18" s="22">
        <f t="shared" si="44"/>
        <v>10</v>
      </c>
      <c r="AV18" s="8">
        <f t="shared" si="34"/>
        <v>430000</v>
      </c>
      <c r="AW18" s="52"/>
      <c r="AX18" s="9"/>
      <c r="AY18" s="22">
        <f t="shared" si="45"/>
        <v>10</v>
      </c>
      <c r="AZ18" s="8">
        <f t="shared" si="46"/>
        <v>430000</v>
      </c>
      <c r="BA18" s="52"/>
      <c r="BB18" s="9"/>
      <c r="BC18" s="22">
        <f t="shared" si="47"/>
        <v>10</v>
      </c>
      <c r="BD18" s="8">
        <f t="shared" si="48"/>
        <v>430000</v>
      </c>
      <c r="BE18" s="52"/>
      <c r="BF18" s="9"/>
      <c r="BG18" s="22">
        <f t="shared" si="49"/>
        <v>10</v>
      </c>
      <c r="BH18" s="8">
        <f t="shared" si="50"/>
        <v>430000</v>
      </c>
      <c r="BI18" s="52"/>
      <c r="BJ18" s="9"/>
      <c r="BK18" s="22">
        <f t="shared" si="51"/>
        <v>10</v>
      </c>
      <c r="BL18" s="8">
        <f t="shared" si="52"/>
        <v>430000</v>
      </c>
      <c r="BM18" s="52"/>
      <c r="BN18" s="9"/>
      <c r="BO18" s="22">
        <f t="shared" si="53"/>
        <v>10</v>
      </c>
      <c r="BP18" s="8">
        <f t="shared" si="54"/>
        <v>430000</v>
      </c>
      <c r="BQ18" s="52"/>
      <c r="BR18" s="9"/>
      <c r="BS18" s="22">
        <f t="shared" si="55"/>
        <v>10</v>
      </c>
      <c r="BT18" s="8">
        <f t="shared" si="56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3"/>
      <c r="CK18" s="103"/>
      <c r="CL18" s="143"/>
      <c r="FF18" s="139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40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Mel diseño grafico</v>
      </c>
      <c r="B19" s="42">
        <f ca="1"/>
        <v>10</v>
      </c>
      <c r="C19" s="142">
        <f ca="1"/>
        <v>430000</v>
      </c>
      <c r="D19" s="134" t="str">
        <f ca="1"/>
        <v/>
      </c>
      <c r="E19" s="135" t="str">
        <f ca="1"/>
        <v>SI</v>
      </c>
      <c r="F19" s="141" t="str">
        <f t="shared" ca="1" si="19"/>
        <v/>
      </c>
      <c r="G19" s="136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5"/>
        <v>10</v>
      </c>
      <c r="T19" s="8">
        <f t="shared" si="36"/>
        <v>145000</v>
      </c>
      <c r="U19" s="52"/>
      <c r="V19" s="9" t="s">
        <v>48</v>
      </c>
      <c r="W19" s="22">
        <f t="shared" si="37"/>
        <v>10</v>
      </c>
      <c r="X19" s="8">
        <v>150000</v>
      </c>
      <c r="Y19" s="52"/>
      <c r="Z19" s="9" t="s">
        <v>48</v>
      </c>
      <c r="AA19" s="22">
        <f t="shared" si="38"/>
        <v>10</v>
      </c>
      <c r="AB19" s="8">
        <f t="shared" si="63"/>
        <v>150000</v>
      </c>
      <c r="AC19" s="52"/>
      <c r="AD19" s="9" t="s">
        <v>48</v>
      </c>
      <c r="AE19" s="22">
        <f t="shared" si="39"/>
        <v>10</v>
      </c>
      <c r="AF19" s="8">
        <f t="shared" si="31"/>
        <v>150000</v>
      </c>
      <c r="AG19" s="52"/>
      <c r="AH19" s="9" t="s">
        <v>48</v>
      </c>
      <c r="AI19" s="22">
        <f t="shared" si="40"/>
        <v>10</v>
      </c>
      <c r="AJ19" s="8">
        <f t="shared" si="32"/>
        <v>150000</v>
      </c>
      <c r="AK19" s="52"/>
      <c r="AL19" s="9" t="s">
        <v>48</v>
      </c>
      <c r="AM19" s="22">
        <f t="shared" si="41"/>
        <v>10</v>
      </c>
      <c r="AN19" s="8">
        <v>165000</v>
      </c>
      <c r="AO19" s="52"/>
      <c r="AP19" s="9" t="s">
        <v>48</v>
      </c>
      <c r="AQ19" s="22">
        <f t="shared" si="42"/>
        <v>10</v>
      </c>
      <c r="AR19" s="8">
        <f t="shared" si="43"/>
        <v>165000</v>
      </c>
      <c r="AS19" s="52"/>
      <c r="AT19" s="9"/>
      <c r="AU19" s="22">
        <f t="shared" si="44"/>
        <v>10</v>
      </c>
      <c r="AV19" s="8">
        <f t="shared" si="34"/>
        <v>165000</v>
      </c>
      <c r="AW19" s="52"/>
      <c r="AX19" s="9"/>
      <c r="AY19" s="22">
        <f t="shared" si="45"/>
        <v>10</v>
      </c>
      <c r="AZ19" s="8">
        <f t="shared" si="46"/>
        <v>165000</v>
      </c>
      <c r="BA19" s="52"/>
      <c r="BB19" s="9"/>
      <c r="BC19" s="22">
        <f t="shared" si="47"/>
        <v>10</v>
      </c>
      <c r="BD19" s="8">
        <f t="shared" si="48"/>
        <v>165000</v>
      </c>
      <c r="BE19" s="52"/>
      <c r="BF19" s="9"/>
      <c r="BG19" s="22">
        <f t="shared" si="49"/>
        <v>10</v>
      </c>
      <c r="BH19" s="8">
        <f t="shared" si="50"/>
        <v>165000</v>
      </c>
      <c r="BI19" s="52"/>
      <c r="BJ19" s="9"/>
      <c r="BK19" s="22">
        <f t="shared" si="51"/>
        <v>10</v>
      </c>
      <c r="BL19" s="8">
        <f t="shared" si="52"/>
        <v>165000</v>
      </c>
      <c r="BM19" s="52"/>
      <c r="BN19" s="9"/>
      <c r="BO19" s="22">
        <f t="shared" si="53"/>
        <v>10</v>
      </c>
      <c r="BP19" s="8">
        <f t="shared" si="54"/>
        <v>165000</v>
      </c>
      <c r="BQ19" s="52"/>
      <c r="BR19" s="9"/>
      <c r="BS19" s="22">
        <f t="shared" si="55"/>
        <v>10</v>
      </c>
      <c r="BT19" s="8">
        <f t="shared" si="56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3"/>
      <c r="CK19" s="103"/>
      <c r="CL19" s="143"/>
      <c r="FF19" s="139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40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Contador</v>
      </c>
      <c r="B20" s="42">
        <f ca="1"/>
        <v>10</v>
      </c>
      <c r="C20" s="103">
        <f ca="1"/>
        <v>165000</v>
      </c>
      <c r="D20" s="134" t="str">
        <f ca="1"/>
        <v/>
      </c>
      <c r="E20" s="135" t="str">
        <f ca="1"/>
        <v>SI</v>
      </c>
      <c r="F20" s="141" t="str">
        <f t="shared" ca="1" si="19"/>
        <v/>
      </c>
      <c r="G20" s="136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5"/>
        <v>20</v>
      </c>
      <c r="T20" s="8">
        <f t="shared" si="36"/>
        <v>375705</v>
      </c>
      <c r="U20" s="52"/>
      <c r="V20" s="9" t="s">
        <v>48</v>
      </c>
      <c r="W20" s="22">
        <f t="shared" si="37"/>
        <v>20</v>
      </c>
      <c r="X20" s="8">
        <v>401600</v>
      </c>
      <c r="Y20" s="52"/>
      <c r="Z20" s="9" t="s">
        <v>48</v>
      </c>
      <c r="AA20" s="22">
        <f t="shared" si="38"/>
        <v>20</v>
      </c>
      <c r="AB20" s="8">
        <f t="shared" si="63"/>
        <v>401600</v>
      </c>
      <c r="AC20" s="52"/>
      <c r="AD20" s="9" t="s">
        <v>48</v>
      </c>
      <c r="AE20" s="22">
        <f t="shared" si="39"/>
        <v>20</v>
      </c>
      <c r="AF20" s="8">
        <v>400207</v>
      </c>
      <c r="AG20" s="52"/>
      <c r="AH20" s="9" t="s">
        <v>48</v>
      </c>
      <c r="AI20" s="22">
        <f t="shared" si="40"/>
        <v>20</v>
      </c>
      <c r="AJ20" s="8">
        <v>390678</v>
      </c>
      <c r="AK20" s="52"/>
      <c r="AL20" s="9" t="s">
        <v>48</v>
      </c>
      <c r="AM20" s="22">
        <f t="shared" si="41"/>
        <v>20</v>
      </c>
      <c r="AN20" s="8">
        <f t="shared" si="33"/>
        <v>390678</v>
      </c>
      <c r="AO20" s="52"/>
      <c r="AP20" s="9"/>
      <c r="AQ20" s="22">
        <f t="shared" si="42"/>
        <v>20</v>
      </c>
      <c r="AR20" s="8">
        <f t="shared" si="43"/>
        <v>390678</v>
      </c>
      <c r="AS20" s="52"/>
      <c r="AT20" s="9"/>
      <c r="AU20" s="22">
        <f t="shared" si="44"/>
        <v>20</v>
      </c>
      <c r="AV20" s="8">
        <f t="shared" si="34"/>
        <v>390678</v>
      </c>
      <c r="AW20" s="52"/>
      <c r="AX20" s="9"/>
      <c r="AY20" s="22">
        <f t="shared" si="45"/>
        <v>20</v>
      </c>
      <c r="AZ20" s="8">
        <f t="shared" si="46"/>
        <v>390678</v>
      </c>
      <c r="BA20" s="52"/>
      <c r="BB20" s="9"/>
      <c r="BC20" s="22">
        <f t="shared" si="47"/>
        <v>20</v>
      </c>
      <c r="BD20" s="8">
        <f t="shared" si="48"/>
        <v>390678</v>
      </c>
      <c r="BE20" s="52"/>
      <c r="BF20" s="9"/>
      <c r="BG20" s="22">
        <f t="shared" si="49"/>
        <v>20</v>
      </c>
      <c r="BH20" s="8">
        <f t="shared" si="50"/>
        <v>390678</v>
      </c>
      <c r="BI20" s="52"/>
      <c r="BJ20" s="9"/>
      <c r="BK20" s="22">
        <f t="shared" si="51"/>
        <v>20</v>
      </c>
      <c r="BL20" s="8">
        <f t="shared" si="52"/>
        <v>390678</v>
      </c>
      <c r="BM20" s="52"/>
      <c r="BN20" s="9"/>
      <c r="BO20" s="22">
        <f t="shared" si="53"/>
        <v>20</v>
      </c>
      <c r="BP20" s="8">
        <f t="shared" si="54"/>
        <v>390678</v>
      </c>
      <c r="BQ20" s="52"/>
      <c r="BR20" s="9"/>
      <c r="BS20" s="22">
        <f t="shared" si="55"/>
        <v>20</v>
      </c>
      <c r="BT20" s="8">
        <f t="shared" si="56"/>
        <v>390678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3"/>
      <c r="CK20" s="103"/>
      <c r="CL20" s="143"/>
      <c r="FF20" s="139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40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Cargas Sociales</v>
      </c>
      <c r="B21" s="42">
        <f ca="1"/>
        <v>10</v>
      </c>
      <c r="C21" s="103">
        <f ca="1"/>
        <v>831762</v>
      </c>
      <c r="D21" s="134" t="str">
        <f ca="1"/>
        <v/>
      </c>
      <c r="E21" s="135" t="str">
        <f ca="1"/>
        <v>SI</v>
      </c>
      <c r="F21" s="141" t="str">
        <f t="shared" ca="1" si="19"/>
        <v/>
      </c>
      <c r="G21" s="136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5"/>
        <v>20</v>
      </c>
      <c r="T21" s="8">
        <f t="shared" si="36"/>
        <v>302500</v>
      </c>
      <c r="U21" s="52"/>
      <c r="V21" s="9" t="s">
        <v>48</v>
      </c>
      <c r="W21" s="22">
        <f t="shared" si="37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3"/>
      <c r="CK21" s="103"/>
      <c r="CL21" s="143"/>
      <c r="FF21" s="139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40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Prestamo Galicia - SGR</v>
      </c>
      <c r="B22" s="42">
        <f ca="1"/>
        <v>14</v>
      </c>
      <c r="C22" s="142">
        <f ca="1"/>
        <v>1582000</v>
      </c>
      <c r="D22" s="134" t="str">
        <f ca="1"/>
        <v/>
      </c>
      <c r="E22" s="135" t="str">
        <f ca="1"/>
        <v>SI</v>
      </c>
      <c r="F22" s="141" t="str">
        <f t="shared" ca="1" si="19"/>
        <v/>
      </c>
      <c r="G22" s="136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5"/>
        <v>25</v>
      </c>
      <c r="T22" s="8">
        <f t="shared" si="36"/>
        <v>174636</v>
      </c>
      <c r="U22" s="52"/>
      <c r="V22" s="9" t="s">
        <v>48</v>
      </c>
      <c r="W22" s="22">
        <f t="shared" si="37"/>
        <v>25</v>
      </c>
      <c r="X22" s="8">
        <f t="shared" si="30"/>
        <v>174636</v>
      </c>
      <c r="Y22" s="52"/>
      <c r="Z22" s="9"/>
      <c r="AA22" s="22">
        <f t="shared" si="38"/>
        <v>25</v>
      </c>
      <c r="AB22" s="8">
        <f t="shared" si="63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3"/>
      <c r="CK22" s="103"/>
      <c r="CL22" s="143"/>
      <c r="FF22" s="139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40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Cuota Facilidades IVA</v>
      </c>
      <c r="B23" s="42">
        <f ca="1"/>
        <v>16</v>
      </c>
      <c r="C23" s="103">
        <f ca="1"/>
        <v>446304</v>
      </c>
      <c r="D23" s="134" t="str">
        <f ca="1"/>
        <v/>
      </c>
      <c r="E23" s="135" t="str">
        <f ca="1"/>
        <v>SI</v>
      </c>
      <c r="F23" s="141" t="str">
        <f t="shared" ca="1" si="19"/>
        <v/>
      </c>
      <c r="G23" s="136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5"/>
        <v>7</v>
      </c>
      <c r="T23" s="8">
        <f>+P23</f>
        <v>80540.72</v>
      </c>
      <c r="U23" s="52"/>
      <c r="V23" s="9" t="s">
        <v>48</v>
      </c>
      <c r="W23" s="22">
        <f t="shared" si="37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9"/>
        <v>5</v>
      </c>
      <c r="AF23" s="8">
        <v>87936</v>
      </c>
      <c r="AG23" s="52"/>
      <c r="AH23" s="9" t="s">
        <v>48</v>
      </c>
      <c r="AI23" s="22">
        <f t="shared" si="40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f t="shared" si="42"/>
        <v>1</v>
      </c>
      <c r="AR23" s="8">
        <f>+AN23</f>
        <v>90342</v>
      </c>
      <c r="AS23" s="52"/>
      <c r="AT23" s="9"/>
      <c r="AU23" s="22">
        <f t="shared" si="44"/>
        <v>1</v>
      </c>
      <c r="AV23" s="8">
        <f>+AR23</f>
        <v>90342</v>
      </c>
      <c r="AW23" s="52"/>
      <c r="AX23" s="9"/>
      <c r="AY23" s="22">
        <f t="shared" ref="AY23:AY27" si="64">+AU23</f>
        <v>1</v>
      </c>
      <c r="AZ23" s="8">
        <f>+AV23</f>
        <v>90342</v>
      </c>
      <c r="BA23" s="52"/>
      <c r="BB23" s="9"/>
      <c r="BC23" s="22">
        <f t="shared" ref="BC23:BC27" si="65">+AY23</f>
        <v>1</v>
      </c>
      <c r="BD23" s="8">
        <f>+AZ23</f>
        <v>90342</v>
      </c>
      <c r="BE23" s="52"/>
      <c r="BF23" s="9"/>
      <c r="BG23" s="22">
        <f t="shared" ref="BG23:BG27" si="66">+BC23</f>
        <v>1</v>
      </c>
      <c r="BH23" s="8">
        <f>+BD23</f>
        <v>90342</v>
      </c>
      <c r="BI23" s="52"/>
      <c r="BJ23" s="9"/>
      <c r="BK23" s="22">
        <f t="shared" ref="BK23:BK27" si="67">+BG23</f>
        <v>1</v>
      </c>
      <c r="BL23" s="8">
        <f>+BH23</f>
        <v>90342</v>
      </c>
      <c r="BM23" s="52"/>
      <c r="BN23" s="9"/>
      <c r="BO23" s="22">
        <f t="shared" ref="BO23:BO27" si="68">+BK23</f>
        <v>1</v>
      </c>
      <c r="BP23" s="8">
        <f>+BL23</f>
        <v>90342</v>
      </c>
      <c r="BQ23" s="52"/>
      <c r="BR23" s="9"/>
      <c r="BS23" s="22">
        <f t="shared" ref="BS23:BS27" si="69">+BO23</f>
        <v>1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3"/>
      <c r="CK23" s="103"/>
      <c r="CL23" s="143"/>
      <c r="FF23" s="139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40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3">
        <f ca="1"/>
        <v>410336</v>
      </c>
      <c r="D24" s="134" t="str">
        <f ca="1"/>
        <v/>
      </c>
      <c r="E24" s="135" t="str">
        <f ca="1"/>
        <v>SI</v>
      </c>
      <c r="F24" s="141" t="str">
        <f t="shared" ca="1" si="19"/>
        <v/>
      </c>
      <c r="G24" s="136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5"/>
        <v>9</v>
      </c>
      <c r="T24" s="8">
        <f t="shared" ref="T24:T27" si="70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9"/>
        <v>12</v>
      </c>
      <c r="AF24" s="8">
        <f>544164+167163+148734</f>
        <v>860061</v>
      </c>
      <c r="AG24" s="52"/>
      <c r="AH24" s="9" t="s">
        <v>48</v>
      </c>
      <c r="AI24" s="22">
        <f t="shared" si="40"/>
        <v>12</v>
      </c>
      <c r="AJ24" s="8">
        <f t="shared" ref="AJ24" si="71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2"/>
        <v>10</v>
      </c>
      <c r="AR24" s="8">
        <f t="shared" ref="AR24:AR27" si="72">+AN24</f>
        <v>831762</v>
      </c>
      <c r="AS24" s="52"/>
      <c r="AT24" s="9"/>
      <c r="AU24" s="22">
        <f t="shared" si="44"/>
        <v>10</v>
      </c>
      <c r="AV24" s="8">
        <f t="shared" ref="AV24:AV27" si="73">+AR24</f>
        <v>831762</v>
      </c>
      <c r="AW24" s="52"/>
      <c r="AX24" s="9"/>
      <c r="AY24" s="22">
        <f t="shared" si="64"/>
        <v>10</v>
      </c>
      <c r="AZ24" s="8">
        <f t="shared" ref="AZ24:AZ27" si="74">+AV24</f>
        <v>831762</v>
      </c>
      <c r="BA24" s="52"/>
      <c r="BB24" s="9"/>
      <c r="BC24" s="22">
        <f t="shared" si="65"/>
        <v>10</v>
      </c>
      <c r="BD24" s="8">
        <f t="shared" ref="BD24:BD27" si="75">+AZ24</f>
        <v>831762</v>
      </c>
      <c r="BE24" s="52"/>
      <c r="BF24" s="9"/>
      <c r="BG24" s="22">
        <f t="shared" si="66"/>
        <v>10</v>
      </c>
      <c r="BH24" s="8">
        <f t="shared" ref="BH24:BH27" si="76">+BD24</f>
        <v>831762</v>
      </c>
      <c r="BI24" s="52"/>
      <c r="BJ24" s="9"/>
      <c r="BK24" s="22">
        <f t="shared" si="67"/>
        <v>10</v>
      </c>
      <c r="BL24" s="8">
        <f t="shared" ref="BL24:BL27" si="77">+BH24</f>
        <v>831762</v>
      </c>
      <c r="BM24" s="52"/>
      <c r="BN24" s="9"/>
      <c r="BO24" s="22">
        <f t="shared" si="68"/>
        <v>10</v>
      </c>
      <c r="BP24" s="8">
        <f t="shared" ref="BP24:BP27" si="78">+BL24</f>
        <v>831762</v>
      </c>
      <c r="BQ24" s="52"/>
      <c r="BR24" s="9"/>
      <c r="BS24" s="22">
        <f t="shared" si="69"/>
        <v>10</v>
      </c>
      <c r="BT24" s="8">
        <f t="shared" ref="BT24:BT27" si="79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3"/>
      <c r="CK24" s="103"/>
      <c r="CL24" s="143"/>
      <c r="FF24" s="139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40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Personal Flow</v>
      </c>
      <c r="B25" s="42">
        <f ca="1"/>
        <v>16</v>
      </c>
      <c r="C25" s="103">
        <f ca="1"/>
        <v>89083</v>
      </c>
      <c r="D25" s="134" t="str">
        <f ca="1"/>
        <v/>
      </c>
      <c r="E25" s="135" t="str">
        <f ca="1"/>
        <v>SI</v>
      </c>
      <c r="F25" s="141" t="str">
        <f t="shared" ca="1" si="19"/>
        <v/>
      </c>
      <c r="G25" s="136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5"/>
        <v>10</v>
      </c>
      <c r="T25" s="8">
        <f t="shared" si="70"/>
        <v>45000</v>
      </c>
      <c r="U25" s="52"/>
      <c r="V25" s="9" t="s">
        <v>48</v>
      </c>
      <c r="W25" s="22">
        <f t="shared" si="37"/>
        <v>10</v>
      </c>
      <c r="X25" s="8">
        <f t="shared" ref="X25:X27" si="80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9"/>
        <v>16</v>
      </c>
      <c r="AF25" s="8">
        <f t="shared" ref="AF25:AF27" si="81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2"/>
        <v>1</v>
      </c>
      <c r="AR25" s="8">
        <f t="shared" si="72"/>
        <v>52280</v>
      </c>
      <c r="AS25" s="52"/>
      <c r="AT25" s="9"/>
      <c r="AU25" s="22">
        <f t="shared" si="44"/>
        <v>1</v>
      </c>
      <c r="AV25" s="8">
        <f t="shared" si="73"/>
        <v>52280</v>
      </c>
      <c r="AW25" s="52"/>
      <c r="AX25" s="9"/>
      <c r="AY25" s="22">
        <f t="shared" si="64"/>
        <v>1</v>
      </c>
      <c r="AZ25" s="8">
        <f t="shared" si="74"/>
        <v>52280</v>
      </c>
      <c r="BA25" s="52"/>
      <c r="BB25" s="9"/>
      <c r="BC25" s="22">
        <f t="shared" si="65"/>
        <v>1</v>
      </c>
      <c r="BD25" s="8">
        <f t="shared" si="75"/>
        <v>52280</v>
      </c>
      <c r="BE25" s="52"/>
      <c r="BF25" s="9"/>
      <c r="BG25" s="22">
        <f t="shared" si="66"/>
        <v>1</v>
      </c>
      <c r="BH25" s="8">
        <f t="shared" si="76"/>
        <v>52280</v>
      </c>
      <c r="BI25" s="52"/>
      <c r="BJ25" s="9"/>
      <c r="BK25" s="22">
        <f t="shared" si="67"/>
        <v>1</v>
      </c>
      <c r="BL25" s="8">
        <f t="shared" si="77"/>
        <v>52280</v>
      </c>
      <c r="BM25" s="52"/>
      <c r="BN25" s="9"/>
      <c r="BO25" s="22">
        <f t="shared" si="68"/>
        <v>1</v>
      </c>
      <c r="BP25" s="8">
        <f t="shared" si="78"/>
        <v>52280</v>
      </c>
      <c r="BQ25" s="52"/>
      <c r="BR25" s="9"/>
      <c r="BS25" s="22">
        <f t="shared" si="69"/>
        <v>1</v>
      </c>
      <c r="BT25" s="8">
        <f t="shared" si="79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3"/>
      <c r="CK25" s="103"/>
      <c r="CL25" s="143"/>
      <c r="FF25" s="139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40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Tarjeta Galicia + VISA</v>
      </c>
      <c r="B26" s="42">
        <f ca="1"/>
        <v>17</v>
      </c>
      <c r="C26" s="103">
        <f ca="1"/>
        <v>1213387.2</v>
      </c>
      <c r="D26" s="134" t="str">
        <f ca="1"/>
        <v/>
      </c>
      <c r="E26" s="135" t="str">
        <f ca="1"/>
        <v/>
      </c>
      <c r="F26" s="141" t="str">
        <f t="shared" ca="1" si="19"/>
        <v/>
      </c>
      <c r="G26" s="136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5"/>
        <v>10</v>
      </c>
      <c r="T26" s="8">
        <f t="shared" si="70"/>
        <v>45000</v>
      </c>
      <c r="U26" s="52"/>
      <c r="V26" s="9" t="s">
        <v>48</v>
      </c>
      <c r="W26" s="22">
        <f t="shared" si="37"/>
        <v>10</v>
      </c>
      <c r="X26" s="8">
        <f t="shared" si="80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9"/>
        <v>16</v>
      </c>
      <c r="AF26" s="8">
        <f t="shared" si="81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2"/>
        <v>1</v>
      </c>
      <c r="AR26" s="8">
        <f t="shared" si="72"/>
        <v>52280</v>
      </c>
      <c r="AS26" s="52"/>
      <c r="AT26" s="9"/>
      <c r="AU26" s="22">
        <f t="shared" si="44"/>
        <v>1</v>
      </c>
      <c r="AV26" s="8">
        <f t="shared" si="73"/>
        <v>52280</v>
      </c>
      <c r="AW26" s="52"/>
      <c r="AX26" s="9"/>
      <c r="AY26" s="22">
        <f t="shared" si="64"/>
        <v>1</v>
      </c>
      <c r="AZ26" s="8">
        <f t="shared" si="74"/>
        <v>52280</v>
      </c>
      <c r="BA26" s="52"/>
      <c r="BB26" s="9"/>
      <c r="BC26" s="22">
        <f t="shared" si="65"/>
        <v>1</v>
      </c>
      <c r="BD26" s="8">
        <f t="shared" si="75"/>
        <v>52280</v>
      </c>
      <c r="BE26" s="52"/>
      <c r="BF26" s="9"/>
      <c r="BG26" s="22">
        <f t="shared" si="66"/>
        <v>1</v>
      </c>
      <c r="BH26" s="8">
        <f t="shared" si="76"/>
        <v>52280</v>
      </c>
      <c r="BI26" s="52"/>
      <c r="BJ26" s="9"/>
      <c r="BK26" s="22">
        <f t="shared" si="67"/>
        <v>1</v>
      </c>
      <c r="BL26" s="8">
        <f t="shared" si="77"/>
        <v>52280</v>
      </c>
      <c r="BM26" s="52"/>
      <c r="BN26" s="9"/>
      <c r="BO26" s="22">
        <f t="shared" si="68"/>
        <v>1</v>
      </c>
      <c r="BP26" s="8">
        <f t="shared" si="78"/>
        <v>52280</v>
      </c>
      <c r="BQ26" s="52"/>
      <c r="BR26" s="9"/>
      <c r="BS26" s="22">
        <f t="shared" si="69"/>
        <v>1</v>
      </c>
      <c r="BT26" s="8">
        <f t="shared" si="79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3"/>
      <c r="CK26" s="103"/>
      <c r="CL26" s="143"/>
      <c r="FF26" s="139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40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2">
        <f ca="1"/>
        <v>1316757</v>
      </c>
      <c r="D27" s="134" t="str">
        <f ca="1"/>
        <v/>
      </c>
      <c r="E27" s="135" t="str">
        <f ca="1"/>
        <v/>
      </c>
      <c r="F27" s="135" t="str">
        <f t="shared" ca="1" si="19"/>
        <v/>
      </c>
      <c r="G27" s="136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5"/>
        <v>10</v>
      </c>
      <c r="T27" s="8">
        <f t="shared" si="70"/>
        <v>45000</v>
      </c>
      <c r="U27" s="52"/>
      <c r="V27" s="9" t="s">
        <v>48</v>
      </c>
      <c r="W27" s="22">
        <f t="shared" si="37"/>
        <v>10</v>
      </c>
      <c r="X27" s="8">
        <f t="shared" si="80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9"/>
        <v>16</v>
      </c>
      <c r="AF27" s="8">
        <f t="shared" si="81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2"/>
        <v>1</v>
      </c>
      <c r="AR27" s="8">
        <f t="shared" si="72"/>
        <v>42246</v>
      </c>
      <c r="AS27" s="52"/>
      <c r="AT27" s="9"/>
      <c r="AU27" s="22">
        <f t="shared" si="44"/>
        <v>1</v>
      </c>
      <c r="AV27" s="8">
        <f t="shared" si="73"/>
        <v>42246</v>
      </c>
      <c r="AW27" s="52"/>
      <c r="AX27" s="9"/>
      <c r="AY27" s="22">
        <f t="shared" si="64"/>
        <v>1</v>
      </c>
      <c r="AZ27" s="8">
        <f t="shared" si="74"/>
        <v>42246</v>
      </c>
      <c r="BA27" s="52"/>
      <c r="BB27" s="9"/>
      <c r="BC27" s="22">
        <f t="shared" si="65"/>
        <v>1</v>
      </c>
      <c r="BD27" s="8">
        <f t="shared" si="75"/>
        <v>42246</v>
      </c>
      <c r="BE27" s="52"/>
      <c r="BF27" s="9"/>
      <c r="BG27" s="22">
        <f t="shared" si="66"/>
        <v>1</v>
      </c>
      <c r="BH27" s="8">
        <f t="shared" si="76"/>
        <v>42246</v>
      </c>
      <c r="BI27" s="52"/>
      <c r="BJ27" s="9"/>
      <c r="BK27" s="22">
        <f t="shared" si="67"/>
        <v>1</v>
      </c>
      <c r="BL27" s="8">
        <f t="shared" si="77"/>
        <v>42246</v>
      </c>
      <c r="BM27" s="52"/>
      <c r="BN27" s="9"/>
      <c r="BO27" s="22">
        <f t="shared" si="68"/>
        <v>1</v>
      </c>
      <c r="BP27" s="8">
        <f t="shared" si="78"/>
        <v>42246</v>
      </c>
      <c r="BQ27" s="52"/>
      <c r="BR27" s="9"/>
      <c r="BS27" s="22">
        <f t="shared" si="69"/>
        <v>1</v>
      </c>
      <c r="BT27" s="8">
        <f t="shared" si="79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3"/>
      <c r="CK27" s="103"/>
      <c r="CL27" s="143"/>
      <c r="FF27" s="139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40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3">
        <f ca="1"/>
        <v>390678</v>
      </c>
      <c r="D28" s="134" t="str">
        <f ca="1"/>
        <v/>
      </c>
      <c r="E28" s="24" t="str">
        <f ca="1"/>
        <v/>
      </c>
      <c r="F28" s="135">
        <f t="shared" ca="1" si="19"/>
        <v>0</v>
      </c>
      <c r="G28" s="136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3"/>
      <c r="Q28" s="137"/>
      <c r="R28" s="138"/>
      <c r="S28" s="22">
        <v>17</v>
      </c>
      <c r="T28" s="103">
        <v>1528316.97</v>
      </c>
      <c r="U28" s="137"/>
      <c r="V28" s="138" t="s">
        <v>48</v>
      </c>
      <c r="W28" s="22">
        <v>17</v>
      </c>
      <c r="X28" s="103">
        <f>+T28</f>
        <v>1528316.97</v>
      </c>
      <c r="Y28" s="137"/>
      <c r="Z28" s="138" t="s">
        <v>48</v>
      </c>
      <c r="AA28" s="22">
        <v>16</v>
      </c>
      <c r="AB28" s="103">
        <v>1498822.21</v>
      </c>
      <c r="AC28" s="137"/>
      <c r="AD28" s="138" t="s">
        <v>48</v>
      </c>
      <c r="AE28" s="22"/>
      <c r="AF28" s="103"/>
      <c r="AG28" s="137"/>
      <c r="AH28" s="138"/>
      <c r="AI28" s="22"/>
      <c r="AJ28" s="103"/>
      <c r="AK28" s="137"/>
      <c r="AL28" s="138"/>
      <c r="AM28" s="22"/>
      <c r="AN28" s="103"/>
      <c r="AO28" s="137"/>
      <c r="AP28" s="138"/>
      <c r="AQ28" s="22"/>
      <c r="AR28" s="103"/>
      <c r="AS28" s="137"/>
      <c r="AT28" s="138"/>
      <c r="AU28" s="22"/>
      <c r="AV28" s="103"/>
      <c r="AW28" s="137"/>
      <c r="AX28" s="138"/>
      <c r="AY28" s="22"/>
      <c r="AZ28" s="103"/>
      <c r="BA28" s="137"/>
      <c r="BB28" s="138"/>
      <c r="BC28" s="22"/>
      <c r="BD28" s="103"/>
      <c r="BE28" s="137"/>
      <c r="BF28" s="138"/>
      <c r="BG28" s="22"/>
      <c r="BH28" s="103"/>
      <c r="BI28" s="137"/>
      <c r="BJ28" s="138"/>
      <c r="BK28" s="22"/>
      <c r="BL28" s="103"/>
      <c r="BM28" s="137"/>
      <c r="BN28" s="138"/>
      <c r="BO28" s="22"/>
      <c r="BP28" s="103"/>
      <c r="BQ28" s="137"/>
      <c r="BR28" s="138"/>
      <c r="BS28" s="22"/>
      <c r="BT28" s="103"/>
      <c r="BU28" s="137"/>
      <c r="BV28" s="138"/>
      <c r="BW28" s="22"/>
      <c r="BX28" s="103"/>
      <c r="BY28" s="137"/>
      <c r="BZ28" s="138"/>
      <c r="CA28" s="22"/>
      <c r="CB28" s="103"/>
      <c r="CC28" s="103"/>
      <c r="CD28" s="137"/>
      <c r="CE28" s="22"/>
      <c r="CF28" s="103"/>
      <c r="CG28" s="103"/>
      <c r="CH28" s="137"/>
      <c r="CI28" s="22"/>
      <c r="CJ28" s="103"/>
      <c r="CK28" s="103"/>
      <c r="CL28" s="137"/>
      <c r="FF28" s="139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40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Tarjeta Galicia - BUSINESS</v>
      </c>
      <c r="B29" s="42">
        <f ca="1"/>
        <v>20</v>
      </c>
      <c r="C29" s="103">
        <f ca="1"/>
        <v>848160</v>
      </c>
      <c r="D29" s="134" t="str">
        <f ca="1"/>
        <v/>
      </c>
      <c r="E29" s="135" t="str">
        <f ca="1"/>
        <v>SI</v>
      </c>
      <c r="F29" s="135">
        <f t="shared" ca="1" si="19"/>
        <v>0</v>
      </c>
      <c r="G29" s="136" t="str">
        <f t="shared" ca="1" si="20"/>
        <v>Ir</v>
      </c>
      <c r="H29" s="124">
        <f t="shared" si="23"/>
        <v>27</v>
      </c>
      <c r="I29" s="125" t="s">
        <v>42</v>
      </c>
      <c r="J29" s="123">
        <v>27</v>
      </c>
      <c r="K29" s="123">
        <v>27</v>
      </c>
      <c r="L29" s="121" t="s">
        <v>6</v>
      </c>
      <c r="M29" s="121" t="s">
        <v>12</v>
      </c>
      <c r="N29" s="126"/>
      <c r="O29" s="127"/>
      <c r="P29" s="122"/>
      <c r="Q29" s="132"/>
      <c r="R29" s="131"/>
      <c r="S29" s="127">
        <v>27</v>
      </c>
      <c r="T29" s="122">
        <v>315894.99</v>
      </c>
      <c r="U29" s="132"/>
      <c r="V29" s="131" t="s">
        <v>48</v>
      </c>
      <c r="W29" s="127">
        <v>27</v>
      </c>
      <c r="X29" s="122">
        <f>+T29</f>
        <v>315894.99</v>
      </c>
      <c r="Y29" s="132"/>
      <c r="Z29" s="131" t="s">
        <v>48</v>
      </c>
      <c r="AA29" s="127">
        <v>27</v>
      </c>
      <c r="AB29" s="122">
        <v>303014</v>
      </c>
      <c r="AC29" s="132"/>
      <c r="AD29" s="131" t="s">
        <v>48</v>
      </c>
      <c r="AE29" s="127">
        <v>27</v>
      </c>
      <c r="AF29" s="122">
        <v>302729</v>
      </c>
      <c r="AG29" s="132"/>
      <c r="AH29" s="131" t="s">
        <v>48</v>
      </c>
      <c r="AI29" s="127">
        <v>27</v>
      </c>
      <c r="AJ29" s="122">
        <f>+AF29</f>
        <v>302729</v>
      </c>
      <c r="AK29" s="132"/>
      <c r="AL29" s="131" t="s">
        <v>48</v>
      </c>
      <c r="AM29" s="127">
        <v>27</v>
      </c>
      <c r="AN29" s="122">
        <v>299449</v>
      </c>
      <c r="AO29" s="132"/>
      <c r="AP29" s="131"/>
      <c r="AQ29" s="127">
        <v>27</v>
      </c>
      <c r="AR29" s="122">
        <f>+AN29</f>
        <v>299449</v>
      </c>
      <c r="AS29" s="132"/>
      <c r="AT29" s="131"/>
      <c r="AU29" s="127">
        <v>27</v>
      </c>
      <c r="AV29" s="122">
        <f>+AR29</f>
        <v>299449</v>
      </c>
      <c r="AW29" s="132"/>
      <c r="AX29" s="131"/>
      <c r="AY29" s="127">
        <v>27</v>
      </c>
      <c r="AZ29" s="122">
        <f>+AV29</f>
        <v>299449</v>
      </c>
      <c r="BA29" s="132"/>
      <c r="BB29" s="131"/>
      <c r="BC29" s="127">
        <v>27</v>
      </c>
      <c r="BD29" s="122">
        <f>+AZ29</f>
        <v>299449</v>
      </c>
      <c r="BE29" s="132"/>
      <c r="BF29" s="131"/>
      <c r="BG29" s="127">
        <v>27</v>
      </c>
      <c r="BH29" s="122">
        <f>+BD29</f>
        <v>299449</v>
      </c>
      <c r="BI29" s="132"/>
      <c r="BJ29" s="131"/>
      <c r="BK29" s="127">
        <v>27</v>
      </c>
      <c r="BL29" s="122">
        <f>+BH29</f>
        <v>299449</v>
      </c>
      <c r="BM29" s="137"/>
      <c r="BN29" s="138"/>
      <c r="BO29" s="22"/>
      <c r="BP29" s="103"/>
      <c r="BQ29" s="137"/>
      <c r="BR29" s="138"/>
      <c r="BS29" s="22"/>
      <c r="BT29" s="103"/>
      <c r="BU29" s="137"/>
      <c r="BV29" s="138"/>
      <c r="BW29" s="22"/>
      <c r="BX29" s="103"/>
      <c r="BY29" s="137"/>
      <c r="BZ29" s="138"/>
      <c r="CA29" s="22"/>
      <c r="CB29" s="103"/>
      <c r="CC29" s="103"/>
      <c r="CD29" s="137"/>
      <c r="CE29" s="22"/>
      <c r="CF29" s="103"/>
      <c r="CG29" s="103"/>
      <c r="CH29" s="137"/>
      <c r="CI29" s="22"/>
      <c r="CJ29" s="103"/>
      <c r="CK29" s="103"/>
      <c r="CL29" s="137"/>
      <c r="FF29" s="139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40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Seguros Rivadavía</v>
      </c>
      <c r="B30" s="42">
        <f ca="1"/>
        <v>22</v>
      </c>
      <c r="C30" s="103">
        <f ca="1"/>
        <v>93593</v>
      </c>
      <c r="D30" s="134" t="str">
        <f ca="1"/>
        <v/>
      </c>
      <c r="E30" s="135" t="str">
        <f ca="1"/>
        <v/>
      </c>
      <c r="F30" s="135">
        <f t="shared" ca="1" si="19"/>
        <v>2</v>
      </c>
      <c r="G30" s="136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Santander Rio</v>
      </c>
      <c r="B31" s="42">
        <f ca="1"/>
        <v>24</v>
      </c>
      <c r="C31" s="103">
        <f ca="1"/>
        <v>872520</v>
      </c>
      <c r="D31" s="134" t="str">
        <f ca="1"/>
        <v/>
      </c>
      <c r="E31" s="135" t="str">
        <f ca="1"/>
        <v/>
      </c>
      <c r="F31" s="135">
        <f t="shared" ca="1" si="19"/>
        <v>4</v>
      </c>
      <c r="G31" s="136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/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A32" s="1" t="str">
        <f ca="1"/>
        <v>Prestamo Galicia +</v>
      </c>
      <c r="B32" s="42">
        <f ca="1"/>
        <v>27</v>
      </c>
      <c r="C32" s="103">
        <f ca="1"/>
        <v>299449</v>
      </c>
      <c r="D32" s="134" t="str">
        <f ca="1"/>
        <v/>
      </c>
      <c r="E32" s="135" t="str">
        <f ca="1"/>
        <v/>
      </c>
      <c r="F32" s="135">
        <f t="shared" ca="1" si="19"/>
        <v>7</v>
      </c>
      <c r="G32" s="136" t="str">
        <f t="shared" ca="1" si="20"/>
        <v>Ir</v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3"/>
      <c r="D33" s="134"/>
      <c r="E33" s="135"/>
      <c r="F33" s="135" t="str">
        <f t="shared" ca="1" si="19"/>
        <v/>
      </c>
      <c r="G33" s="136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3"/>
      <c r="D34" s="134"/>
      <c r="E34" s="135"/>
      <c r="F34" s="135" t="str">
        <f t="shared" ca="1" si="19"/>
        <v/>
      </c>
      <c r="G34" s="136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A35" s="1" t="s">
        <v>291</v>
      </c>
      <c r="B35" s="42"/>
      <c r="C35" s="103">
        <v>631404.27</v>
      </c>
      <c r="D35" s="134"/>
      <c r="E35" s="135"/>
      <c r="F35" s="135" t="str">
        <f t="shared" ca="1" si="19"/>
        <v/>
      </c>
      <c r="G35" s="136" t="str">
        <f t="shared" ca="1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A36" s="1" t="s">
        <v>292</v>
      </c>
      <c r="B36" s="42"/>
      <c r="C36" s="8">
        <v>1003589.79</v>
      </c>
      <c r="D36" s="59"/>
      <c r="E36" s="25"/>
      <c r="F36" s="25" t="str">
        <f t="shared" ca="1" si="19"/>
        <v/>
      </c>
      <c r="G36" s="107" t="str">
        <f t="shared" ca="1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A37" s="160" t="s">
        <v>42</v>
      </c>
      <c r="B37" s="42"/>
      <c r="C37" s="8">
        <v>1316757</v>
      </c>
      <c r="D37" s="59"/>
      <c r="E37" s="25"/>
      <c r="F37" s="25" t="str">
        <f t="shared" ca="1" si="19"/>
        <v/>
      </c>
      <c r="G37" s="107" t="str">
        <f t="shared" si="20"/>
        <v>Ir</v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A38" s="1" t="s">
        <v>106</v>
      </c>
      <c r="B38" s="42"/>
      <c r="C38" s="8">
        <v>880000</v>
      </c>
      <c r="D38" s="59"/>
      <c r="E38" s="25"/>
      <c r="F38" s="25"/>
      <c r="G38" s="107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B39" s="42"/>
      <c r="C39" s="8"/>
      <c r="D39" s="59"/>
      <c r="E39" s="25"/>
      <c r="F39" s="25"/>
      <c r="G39" s="107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16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B40" s="42"/>
      <c r="C40" s="48">
        <f>+SUM(C35:C38)</f>
        <v>3831751.06</v>
      </c>
      <c r="D40" s="59"/>
      <c r="E40" s="25"/>
      <c r="F40" s="25"/>
      <c r="G40" s="107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B41" s="42"/>
      <c r="C41" s="48" t="s">
        <v>293</v>
      </c>
      <c r="D41" s="59"/>
      <c r="E41" s="25"/>
      <c r="F41" s="25"/>
      <c r="G41" s="107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/>
      <c r="D42" s="59"/>
      <c r="E42" s="25"/>
      <c r="F42" s="25"/>
      <c r="G42" s="107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7" t="str">
        <f t="shared" ref="G43:G71" si="82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/>
      <c r="D44" s="39"/>
      <c r="E44" s="26"/>
      <c r="F44" s="25" t="str">
        <f t="shared" ca="1" si="19"/>
        <v/>
      </c>
      <c r="G44" s="107" t="str">
        <f t="shared" si="82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12720799.050000001</v>
      </c>
      <c r="AO44" s="6"/>
      <c r="AP44" s="6"/>
      <c r="AQ44" s="4"/>
      <c r="AR44" s="6">
        <f>+SUM(AR3:AR43)</f>
        <v>10160092.050000001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7" t="str">
        <f t="shared" si="82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7" t="str">
        <f t="shared" si="82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4"/>
      <c r="D47" s="40"/>
      <c r="F47" s="25" t="str">
        <f t="shared" ca="1" si="19"/>
        <v/>
      </c>
      <c r="G47" s="107" t="str">
        <f t="shared" si="82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7" t="str">
        <f t="shared" si="82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7" t="str">
        <f t="shared" si="82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7" t="str">
        <f t="shared" si="82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7" t="str">
        <f t="shared" si="82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7" t="str">
        <f t="shared" si="82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7" t="str">
        <f t="shared" si="82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7" t="str">
        <f t="shared" si="82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7" t="str">
        <f t="shared" si="82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7" t="str">
        <f t="shared" si="82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7" t="str">
        <f t="shared" si="82"/>
        <v/>
      </c>
      <c r="H57" s="3" t="s">
        <v>75</v>
      </c>
      <c r="I57" s="37">
        <f ca="1">+SUM(C7:C13)</f>
        <v>481936.70999999996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7" t="str">
        <f t="shared" si="82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7" t="str">
        <f t="shared" si="82"/>
        <v/>
      </c>
      <c r="I59" s="36">
        <f ca="1">+SUM(I54:I58)</f>
        <v>8320936.71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7" t="str">
        <f t="shared" si="82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7" t="str">
        <f t="shared" si="82"/>
        <v/>
      </c>
      <c r="H61" s="62" t="s">
        <v>78</v>
      </c>
      <c r="I61" s="63">
        <f ca="1">+I52-I59</f>
        <v>1472063.29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4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7" t="str">
        <f t="shared" si="82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4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7" t="str">
        <f t="shared" si="82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4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7" t="str">
        <f t="shared" si="82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7" t="str">
        <f t="shared" si="82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7" t="str">
        <f t="shared" si="82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7" t="str">
        <f t="shared" si="82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" x14ac:dyDescent="0.25">
      <c r="D68" s="40"/>
      <c r="F68" s="25" t="str">
        <f t="shared" ca="1" si="19"/>
        <v/>
      </c>
      <c r="G68" s="107" t="str">
        <f t="shared" si="82"/>
        <v/>
      </c>
      <c r="I68" s="3"/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7"/>
      <c r="I69" s="3"/>
      <c r="K69" s="1">
        <v>10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3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7" t="str">
        <f t="shared" si="82"/>
        <v/>
      </c>
      <c r="I70" s="3">
        <v>21.6</v>
      </c>
      <c r="K70" s="1">
        <f>+I70*K69</f>
        <v>216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3"/>
        <v>40</v>
      </c>
    </row>
    <row r="71" spans="4:220" ht="15" x14ac:dyDescent="0.25">
      <c r="D71" s="40"/>
      <c r="F71" s="25" t="str">
        <f t="shared" ca="1" si="19"/>
        <v/>
      </c>
      <c r="G71" s="107" t="str">
        <f t="shared" si="82"/>
        <v/>
      </c>
      <c r="I71" s="3"/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3"/>
        <v>40</v>
      </c>
    </row>
    <row r="72" spans="4:220" x14ac:dyDescent="0.2">
      <c r="D72" s="40"/>
      <c r="F72" s="25" t="str">
        <f t="shared" ref="F72:F78" ca="1" si="84">IF(B72-DAY(TODAY())&lt;0,"",B72-DAY(TODAY()))</f>
        <v/>
      </c>
      <c r="I72" s="3">
        <f>+I70*3</f>
        <v>64.800000000000011</v>
      </c>
      <c r="K72" s="37">
        <v>77117.03</v>
      </c>
      <c r="M72" s="32"/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3"/>
        <v>40</v>
      </c>
    </row>
    <row r="73" spans="4:220" ht="20.25" customHeight="1" x14ac:dyDescent="0.2">
      <c r="D73" s="40"/>
      <c r="F73" s="25" t="str">
        <f t="shared" ca="1" si="84"/>
        <v/>
      </c>
      <c r="I73" s="3"/>
      <c r="M73" s="32"/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3"/>
        <v>40</v>
      </c>
    </row>
    <row r="74" spans="4:220" x14ac:dyDescent="0.2">
      <c r="D74" s="40"/>
      <c r="F74" s="25" t="str">
        <f t="shared" ca="1" si="84"/>
        <v/>
      </c>
      <c r="I74" s="3">
        <v>3</v>
      </c>
      <c r="K74" s="37">
        <f>+K72*K69</f>
        <v>771170.3</v>
      </c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3"/>
        <v>40</v>
      </c>
    </row>
    <row r="75" spans="4:220" x14ac:dyDescent="0.2">
      <c r="D75" s="40"/>
      <c r="F75" s="25" t="str">
        <f t="shared" ca="1" si="84"/>
        <v/>
      </c>
      <c r="H75" s="1"/>
      <c r="I75" s="3"/>
      <c r="J75" s="1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3"/>
        <v>40</v>
      </c>
    </row>
    <row r="76" spans="4:220" x14ac:dyDescent="0.2">
      <c r="D76" s="40"/>
      <c r="F76" s="25" t="str">
        <f t="shared" ca="1" si="84"/>
        <v/>
      </c>
      <c r="I76" s="1">
        <f>+I74*I72</f>
        <v>194.40000000000003</v>
      </c>
      <c r="K76" s="3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3"/>
        <v>76</v>
      </c>
    </row>
    <row r="77" spans="4:220" x14ac:dyDescent="0.2">
      <c r="D77" s="40"/>
      <c r="F77" s="25" t="str">
        <f t="shared" ca="1" si="84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3"/>
        <v>76</v>
      </c>
    </row>
    <row r="78" spans="4:220" x14ac:dyDescent="0.2">
      <c r="D78" s="40"/>
      <c r="F78" s="25" t="str">
        <f t="shared" ca="1" si="84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3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3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3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3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3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3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3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3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3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3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3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3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3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3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3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3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3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3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3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3"/>
        <v>76</v>
      </c>
    </row>
    <row r="98" spans="4:220" x14ac:dyDescent="0.2">
      <c r="D98" s="40"/>
      <c r="I98" s="94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3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3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3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3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3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3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3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3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3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3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3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3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3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3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3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3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3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3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3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3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3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3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3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3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3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3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3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3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3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3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3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3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3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3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3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5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5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5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5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5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5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5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5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5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5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5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5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5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5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5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5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5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5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5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5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5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5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5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5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5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5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5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5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5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5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5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5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5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5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5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5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5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5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5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5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5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5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5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5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5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5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5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5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5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5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5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5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5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5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5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5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5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5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Autonomo</v>
      </c>
      <c r="HH191" s="1">
        <f ca="1"/>
        <v>1</v>
      </c>
      <c r="HI191" s="4">
        <f ca="1"/>
        <v>90342</v>
      </c>
      <c r="HJ191" s="1" t="str">
        <f ca="1"/>
        <v/>
      </c>
      <c r="HK191" s="1" t="str">
        <f ca="1"/>
        <v>SI</v>
      </c>
      <c r="HL191" s="1">
        <f t="shared" ca="1" si="85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Monotributo IVAN</v>
      </c>
      <c r="HH192" s="1">
        <f ca="1"/>
        <v>1</v>
      </c>
      <c r="HI192" s="4">
        <f ca="1"/>
        <v>52280</v>
      </c>
      <c r="HJ192" s="1" t="str">
        <f ca="1"/>
        <v/>
      </c>
      <c r="HK192" s="1" t="str">
        <f ca="1"/>
        <v>SI</v>
      </c>
      <c r="HL192" s="1">
        <f t="shared" ca="1" si="85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Mayeski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5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David</v>
      </c>
      <c r="HH194" s="1">
        <f ca="1"/>
        <v>1</v>
      </c>
      <c r="HI194" s="4">
        <f ca="1"/>
        <v>42246</v>
      </c>
      <c r="HJ194" s="1" t="str">
        <f ca="1"/>
        <v/>
      </c>
      <c r="HK194" s="1" t="str">
        <f ca="1"/>
        <v>SI</v>
      </c>
      <c r="HL194" s="1">
        <f t="shared" ca="1" si="85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Movistar</v>
      </c>
      <c r="HH195" s="1">
        <f ca="1"/>
        <v>1</v>
      </c>
      <c r="HI195" s="4">
        <f ca="1"/>
        <v>10350</v>
      </c>
      <c r="HJ195" s="1" t="str">
        <f ca="1"/>
        <v/>
      </c>
      <c r="HK195" s="1" t="str">
        <f ca="1"/>
        <v>SI</v>
      </c>
      <c r="HL195" s="1">
        <f t="shared" ca="1" si="85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Victoria Seguros</v>
      </c>
      <c r="HH196" s="1">
        <f ca="1"/>
        <v>1</v>
      </c>
      <c r="HI196" s="4">
        <f ca="1"/>
        <v>123878</v>
      </c>
      <c r="HJ196" s="1" t="str">
        <f ca="1"/>
        <v/>
      </c>
      <c r="HK196" s="1" t="str">
        <f ca="1"/>
        <v>SI</v>
      </c>
      <c r="HL196" s="1">
        <f t="shared" ca="1" si="85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46114</v>
      </c>
      <c r="HG197" s="1" t="str">
        <f ca="1"/>
        <v>Aseg. Motovehicular</v>
      </c>
      <c r="HH197" s="1">
        <f ca="1"/>
        <v>2</v>
      </c>
      <c r="HI197" s="4">
        <f ca="1"/>
        <v>141512.71</v>
      </c>
      <c r="HJ197" s="1" t="str">
        <f ca="1"/>
        <v/>
      </c>
      <c r="HK197" s="1" t="str">
        <f ca="1"/>
        <v>SI</v>
      </c>
      <c r="HL197" s="1">
        <f t="shared" ref="HL197:HL260" ca="1" si="86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Personal Flow</v>
      </c>
      <c r="HH198" s="1">
        <f ca="1"/>
        <v>2</v>
      </c>
      <c r="HI198" s="4">
        <f ca="1"/>
        <v>71670</v>
      </c>
      <c r="HJ198" s="1" t="str">
        <f ca="1"/>
        <v/>
      </c>
      <c r="HK198" s="1" t="str">
        <f ca="1"/>
        <v/>
      </c>
      <c r="HL198" s="1">
        <f t="shared" ca="1" si="86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46118</v>
      </c>
      <c r="HG199" s="1" t="str">
        <f ca="1"/>
        <v>Tarjeta Galicia + MASTER</v>
      </c>
      <c r="HH199" s="1">
        <f ca="1"/>
        <v>6</v>
      </c>
      <c r="HI199" s="4">
        <f ca="1"/>
        <v>40000</v>
      </c>
      <c r="HJ199" s="1" t="str">
        <f ca="1"/>
        <v/>
      </c>
      <c r="HK199" s="1" t="str">
        <f ca="1"/>
        <v>SI</v>
      </c>
      <c r="HL199" s="1">
        <f t="shared" ca="1" si="86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46119</v>
      </c>
      <c r="HG200" s="1" t="str">
        <f ca="1"/>
        <v>Tarjeta ICBC</v>
      </c>
      <c r="HH200" s="1">
        <f ca="1"/>
        <v>7</v>
      </c>
      <c r="HI200" s="4">
        <f ca="1"/>
        <v>40577.730000000003</v>
      </c>
      <c r="HJ200" s="1" t="str">
        <f ca="1"/>
        <v/>
      </c>
      <c r="HK200" s="1" t="str">
        <f ca="1"/>
        <v/>
      </c>
      <c r="HL200" s="1">
        <f t="shared" ca="1" si="86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6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/>
      </c>
      <c r="HL202" s="1">
        <f t="shared" ca="1" si="86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6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6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6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6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6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6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6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6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6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/>
      </c>
      <c r="HL212" s="1">
        <f t="shared" ca="1" si="86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1316757</v>
      </c>
      <c r="HJ213" s="1" t="str">
        <f ca="1"/>
        <v/>
      </c>
      <c r="HK213" s="1" t="str">
        <f ca="1"/>
        <v/>
      </c>
      <c r="HL213" s="1">
        <f t="shared" ca="1" si="86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390678</v>
      </c>
      <c r="HJ214" s="1" t="str">
        <f ca="1"/>
        <v/>
      </c>
      <c r="HK214" s="1" t="str">
        <f ca="1"/>
        <v/>
      </c>
      <c r="HL214" s="1">
        <f t="shared" ca="1" si="86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6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/>
      </c>
      <c r="HL216" s="1">
        <f t="shared" ca="1" si="86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/>
      </c>
      <c r="HL217" s="1">
        <f t="shared" ca="1" si="86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/>
      </c>
      <c r="HL218" s="1">
        <f t="shared" ca="1" si="86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6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6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6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6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6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6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6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6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6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2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228" s="1">
        <f ca="1"/>
        <v>1</v>
      </c>
      <c r="HI228" s="4">
        <f ca="1"/>
        <v>90342</v>
      </c>
      <c r="HJ228" s="1" t="str">
        <f ca="1"/>
        <v/>
      </c>
      <c r="HK228" s="1" t="str">
        <f ca="1"/>
        <v/>
      </c>
      <c r="HL228" s="1">
        <f t="shared" ca="1" si="86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IVAN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6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Mayeski</v>
      </c>
      <c r="HH230" s="1">
        <f ca="1"/>
        <v>1</v>
      </c>
      <c r="HI230" s="4">
        <f ca="1"/>
        <v>52280</v>
      </c>
      <c r="HJ230" s="1" t="str">
        <f ca="1"/>
        <v/>
      </c>
      <c r="HK230" s="1" t="str">
        <f ca="1"/>
        <v/>
      </c>
      <c r="HL230" s="1">
        <f t="shared" ca="1" si="86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Monotributo David</v>
      </c>
      <c r="HH231" s="1">
        <f ca="1"/>
        <v>1</v>
      </c>
      <c r="HI231" s="4">
        <f ca="1"/>
        <v>42246</v>
      </c>
      <c r="HJ231" s="1" t="str">
        <f ca="1"/>
        <v/>
      </c>
      <c r="HK231" s="1" t="str">
        <f ca="1"/>
        <v/>
      </c>
      <c r="HL231" s="1">
        <f t="shared" ca="1" si="86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Movistar</v>
      </c>
      <c r="HH232" s="1">
        <f ca="1"/>
        <v>1</v>
      </c>
      <c r="HI232" s="4">
        <f ca="1"/>
        <v>10350</v>
      </c>
      <c r="HJ232" s="1" t="str">
        <f ca="1"/>
        <v/>
      </c>
      <c r="HK232" s="1" t="str">
        <f ca="1"/>
        <v/>
      </c>
      <c r="HL232" s="1">
        <f t="shared" ca="1" si="86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46143</v>
      </c>
      <c r="HG233" s="1" t="str">
        <f ca="1"/>
        <v>Victoria Seguros</v>
      </c>
      <c r="HH233" s="1">
        <f ca="1"/>
        <v>1</v>
      </c>
      <c r="HI233" s="4">
        <f ca="1"/>
        <v>123878</v>
      </c>
      <c r="HJ233" s="1" t="str">
        <f ca="1"/>
        <v/>
      </c>
      <c r="HK233" s="1" t="str">
        <f ca="1"/>
        <v/>
      </c>
      <c r="HL233" s="1">
        <f t="shared" ca="1" si="86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Aseg. Motovehicular</v>
      </c>
      <c r="HH234" s="1">
        <f ca="1"/>
        <v>2</v>
      </c>
      <c r="HI234" s="4">
        <f ca="1"/>
        <v>141512.71</v>
      </c>
      <c r="HJ234" s="1" t="str">
        <f ca="1"/>
        <v/>
      </c>
      <c r="HK234" s="1" t="str">
        <f ca="1"/>
        <v/>
      </c>
      <c r="HL234" s="1">
        <f t="shared" ca="1" si="86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46144</v>
      </c>
      <c r="HG235" s="1" t="str">
        <f ca="1"/>
        <v>Personal Flow</v>
      </c>
      <c r="HH235" s="1">
        <f ca="1"/>
        <v>2</v>
      </c>
      <c r="HI235" s="4">
        <f ca="1"/>
        <v>71670</v>
      </c>
      <c r="HJ235" s="1" t="str">
        <f ca="1"/>
        <v/>
      </c>
      <c r="HK235" s="1" t="str">
        <f ca="1"/>
        <v/>
      </c>
      <c r="HL235" s="1">
        <f t="shared" ca="1" si="86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46149</v>
      </c>
      <c r="HG236" s="1" t="str">
        <f ca="1"/>
        <v>Tarjeta ICBC</v>
      </c>
      <c r="HH236" s="1">
        <f ca="1"/>
        <v>7</v>
      </c>
      <c r="HI236" s="4">
        <f ca="1"/>
        <v>40577.730000000003</v>
      </c>
      <c r="HJ236" s="1" t="str">
        <f ca="1"/>
        <v/>
      </c>
      <c r="HK236" s="1" t="str">
        <f ca="1"/>
        <v/>
      </c>
      <c r="HL236" s="1">
        <f t="shared" ca="1" si="86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46152</v>
      </c>
      <c r="HG237" s="1" t="str">
        <f ca="1"/>
        <v>Alquiler Distribuidora</v>
      </c>
      <c r="HH237" s="1">
        <f ca="1"/>
        <v>10</v>
      </c>
      <c r="HI237" s="4">
        <f ca="1"/>
        <v>600000</v>
      </c>
      <c r="HJ237" s="1" t="str">
        <f ca="1"/>
        <v/>
      </c>
      <c r="HK237" s="1" t="str">
        <f ca="1"/>
        <v/>
      </c>
      <c r="HL237" s="1">
        <f t="shared" ca="1" si="86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46152</v>
      </c>
      <c r="HG238" s="1" t="str">
        <f ca="1"/>
        <v>Alquiler Casa</v>
      </c>
      <c r="HH238" s="1">
        <f ca="1"/>
        <v>10</v>
      </c>
      <c r="HI238" s="4">
        <f ca="1"/>
        <v>350000</v>
      </c>
      <c r="HJ238" s="1" t="str">
        <f ca="1"/>
        <v/>
      </c>
      <c r="HK238" s="1" t="str">
        <f ca="1"/>
        <v/>
      </c>
      <c r="HL238" s="1">
        <f t="shared" ca="1" si="86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46152</v>
      </c>
      <c r="HG239" s="1" t="str">
        <f ca="1"/>
        <v>Mel diseño grafico</v>
      </c>
      <c r="HH239" s="1">
        <f ca="1"/>
        <v>10</v>
      </c>
      <c r="HI239" s="4">
        <f ca="1"/>
        <v>430000</v>
      </c>
      <c r="HJ239" s="1" t="str">
        <f ca="1"/>
        <v/>
      </c>
      <c r="HK239" s="1" t="str">
        <f ca="1"/>
        <v/>
      </c>
      <c r="HL239" s="1">
        <f t="shared" ca="1" si="86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Contador</v>
      </c>
      <c r="HH240" s="1">
        <f ca="1"/>
        <v>10</v>
      </c>
      <c r="HI240" s="4">
        <f ca="1"/>
        <v>165000</v>
      </c>
      <c r="HJ240" s="1" t="str">
        <f ca="1"/>
        <v/>
      </c>
      <c r="HK240" s="1" t="str">
        <f ca="1"/>
        <v/>
      </c>
      <c r="HL240" s="1">
        <f t="shared" ca="1" si="86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Cargas Sociales</v>
      </c>
      <c r="HH241" s="1">
        <f ca="1"/>
        <v>10</v>
      </c>
      <c r="HI241" s="4">
        <f ca="1"/>
        <v>831762</v>
      </c>
      <c r="HJ241" s="1" t="str">
        <f ca="1"/>
        <v/>
      </c>
      <c r="HK241" s="1" t="str">
        <f ca="1"/>
        <v/>
      </c>
      <c r="HL241" s="1">
        <f t="shared" ca="1" si="86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46156</v>
      </c>
      <c r="HG242" s="1" t="str">
        <f ca="1"/>
        <v>Prestamo Galicia - SGR</v>
      </c>
      <c r="HH242" s="1">
        <f ca="1"/>
        <v>14</v>
      </c>
      <c r="HI242" s="4">
        <f ca="1"/>
        <v>1437968.04</v>
      </c>
      <c r="HJ242" s="1" t="str">
        <f ca="1"/>
        <v/>
      </c>
      <c r="HK242" s="1" t="str">
        <f ca="1"/>
        <v/>
      </c>
      <c r="HL242" s="1">
        <f t="shared" ca="1" si="86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46157</v>
      </c>
      <c r="HG243" s="1" t="str">
        <f ca="1"/>
        <v>Tarjeta Galicia + VISA</v>
      </c>
      <c r="HH243" s="1">
        <f ca="1"/>
        <v>15</v>
      </c>
      <c r="HI243" s="4">
        <f ca="1"/>
        <v>953345.57</v>
      </c>
      <c r="HJ243" s="1" t="str">
        <f ca="1"/>
        <v/>
      </c>
      <c r="HK243" s="1" t="str">
        <f ca="1"/>
        <v/>
      </c>
      <c r="HL243" s="1">
        <f t="shared" ca="1" si="86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46158</v>
      </c>
      <c r="HG244" s="1" t="str">
        <f ca="1"/>
        <v>Cuota Facilidades IVA</v>
      </c>
      <c r="HH244" s="1">
        <f ca="1"/>
        <v>16</v>
      </c>
      <c r="HI244" s="4">
        <f ca="1"/>
        <v>446304</v>
      </c>
      <c r="HJ244" s="1" t="str">
        <f ca="1"/>
        <v/>
      </c>
      <c r="HK244" s="1" t="str">
        <f ca="1"/>
        <v/>
      </c>
      <c r="HL244" s="1">
        <f t="shared" ca="1" si="86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46158</v>
      </c>
      <c r="HG245" s="1" t="str">
        <f ca="1"/>
        <v>Cuota Facilidades IVA</v>
      </c>
      <c r="HH245" s="1">
        <f ca="1"/>
        <v>16</v>
      </c>
      <c r="HI245" s="4">
        <f ca="1"/>
        <v>410336</v>
      </c>
      <c r="HJ245" s="1" t="str">
        <f ca="1"/>
        <v/>
      </c>
      <c r="HK245" s="1" t="str">
        <f ca="1"/>
        <v/>
      </c>
      <c r="HL245" s="1">
        <f t="shared" ca="1" si="86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46158</v>
      </c>
      <c r="HG246" s="1" t="str">
        <f ca="1"/>
        <v>Personal Flow</v>
      </c>
      <c r="HH246" s="1">
        <f ca="1"/>
        <v>16</v>
      </c>
      <c r="HI246" s="4">
        <f ca="1"/>
        <v>89083</v>
      </c>
      <c r="HJ246" s="1" t="str">
        <f ca="1"/>
        <v/>
      </c>
      <c r="HK246" s="1" t="str">
        <f ca="1"/>
        <v/>
      </c>
      <c r="HL246" s="1">
        <f t="shared" ca="1" si="86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Tarjeta Galicia - BUSINESS</v>
      </c>
      <c r="HH247" s="1">
        <f ca="1"/>
        <v>16</v>
      </c>
      <c r="HI247" s="4">
        <f ca="1"/>
        <v>848160</v>
      </c>
      <c r="HJ247" s="1" t="str">
        <f ca="1"/>
        <v/>
      </c>
      <c r="HK247" s="1" t="str">
        <f ca="1"/>
        <v/>
      </c>
      <c r="HL247" s="1">
        <f t="shared" ca="1" si="86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46161</v>
      </c>
      <c r="HG248" s="1" t="str">
        <f ca="1"/>
        <v>Prestamo Galicia +</v>
      </c>
      <c r="HH248" s="1">
        <f ca="1"/>
        <v>19</v>
      </c>
      <c r="HI248" s="4">
        <f ca="1"/>
        <v>1316757</v>
      </c>
      <c r="HJ248" s="1" t="str">
        <f ca="1"/>
        <v/>
      </c>
      <c r="HK248" s="1" t="str">
        <f ca="1"/>
        <v/>
      </c>
      <c r="HL248" s="1">
        <f t="shared" ca="1" si="86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46162</v>
      </c>
      <c r="HG249" s="1" t="str">
        <f ca="1"/>
        <v>BS Gestion</v>
      </c>
      <c r="HH249" s="1">
        <f ca="1"/>
        <v>20</v>
      </c>
      <c r="HI249" s="4">
        <f ca="1"/>
        <v>390678</v>
      </c>
      <c r="HJ249" s="1" t="str">
        <f ca="1"/>
        <v/>
      </c>
      <c r="HK249" s="1" t="str">
        <f ca="1"/>
        <v/>
      </c>
      <c r="HL249" s="1">
        <f t="shared" ca="1" si="86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46164</v>
      </c>
      <c r="HG250" s="1" t="str">
        <f ca="1"/>
        <v>Seguros Rivadavía</v>
      </c>
      <c r="HH250" s="1">
        <f ca="1"/>
        <v>22</v>
      </c>
      <c r="HI250" s="4">
        <f ca="1"/>
        <v>93593</v>
      </c>
      <c r="HJ250" s="1" t="str">
        <f ca="1"/>
        <v/>
      </c>
      <c r="HK250" s="1" t="str">
        <f ca="1"/>
        <v/>
      </c>
      <c r="HL250" s="1">
        <f t="shared" ca="1" si="86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46166</v>
      </c>
      <c r="HG251" s="1" t="str">
        <f ca="1"/>
        <v>Prestamo Santander Rio</v>
      </c>
      <c r="HH251" s="1">
        <f ca="1"/>
        <v>24</v>
      </c>
      <c r="HI251" s="4">
        <f ca="1"/>
        <v>872520</v>
      </c>
      <c r="HJ251" s="1" t="str">
        <f ca="1"/>
        <v/>
      </c>
      <c r="HK251" s="1" t="str">
        <f ca="1"/>
        <v/>
      </c>
      <c r="HL251" s="1">
        <f t="shared" ca="1" si="86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46169</v>
      </c>
      <c r="HG252" s="1" t="str">
        <f ca="1"/>
        <v>Prestamo Galicia +</v>
      </c>
      <c r="HH252" s="1">
        <f ca="1"/>
        <v>27</v>
      </c>
      <c r="HI252" s="4">
        <f ca="1"/>
        <v>299449</v>
      </c>
      <c r="HJ252" s="1" t="str">
        <f ca="1"/>
        <v/>
      </c>
      <c r="HK252" s="1" t="str">
        <f ca="1"/>
        <v/>
      </c>
      <c r="HL252" s="1">
        <f t="shared" ca="1" si="86"/>
        <v>227</v>
      </c>
    </row>
    <row r="253" spans="214:220" x14ac:dyDescent="0.2">
      <c r="HF253" s="23" t="str" cm="1">
        <f t="array" aca="1" ref="HF253" ca="1">IFERROR(IF(HI253="","",TEXT(DAY(HH253)&amp;"/"&amp;MONTH(INDIRECT("HG"&amp;HL253))&amp;"/"&amp;YEAR(INDIRECT("HG"&amp;HL253))+0,"DD/MM/YYYY"))+0,"")</f>
        <v/>
      </c>
      <c r="HL253" s="1">
        <f t="shared" ca="1" si="86"/>
        <v>227</v>
      </c>
    </row>
    <row r="254" spans="214:220" x14ac:dyDescent="0.2">
      <c r="HF254" s="23" t="str" cm="1">
        <f t="array" aca="1" ref="HF254" ca="1">IFERROR(IF(HI254="","",TEXT(DAY(HH254)&amp;"/"&amp;MONTH(INDIRECT("HG"&amp;HL254))&amp;"/"&amp;YEAR(INDIRECT("HG"&amp;HL254))+0,"DD/MM/YYYY"))+0,"")</f>
        <v/>
      </c>
      <c r="HL254" s="1">
        <f t="shared" ca="1" si="86"/>
        <v>227</v>
      </c>
    </row>
    <row r="255" spans="214:220" x14ac:dyDescent="0.2">
      <c r="HF255" s="23" t="str" cm="1">
        <f t="array" aca="1" ref="HF255" ca="1">IFERROR(IF(HI255="","",TEXT(DAY(HH255)&amp;"/"&amp;MONTH(INDIRECT("HG"&amp;HL255))&amp;"/"&amp;YEAR(INDIRECT("HG"&amp;HL255))+0,"DD/MM/YYYY"))+0,"")</f>
        <v/>
      </c>
      <c r="HL255" s="1">
        <f t="shared" ca="1" si="86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6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6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6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6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6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7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7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7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7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7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266" s="1">
        <f ca="1"/>
        <v>1</v>
      </c>
      <c r="HI266" s="4">
        <f ca="1"/>
        <v>90342</v>
      </c>
      <c r="HJ266" s="1" t="str">
        <f ca="1"/>
        <v/>
      </c>
      <c r="HK266" s="1" t="str">
        <f ca="1"/>
        <v/>
      </c>
      <c r="HL266" s="1">
        <f t="shared" ca="1" si="87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IVAN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7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Mayeski</v>
      </c>
      <c r="HH268" s="1">
        <f ca="1"/>
        <v>1</v>
      </c>
      <c r="HI268" s="4">
        <f ca="1"/>
        <v>52280</v>
      </c>
      <c r="HJ268" s="1" t="str">
        <f ca="1"/>
        <v/>
      </c>
      <c r="HK268" s="1" t="str">
        <f ca="1"/>
        <v/>
      </c>
      <c r="HL268" s="1">
        <f t="shared" ca="1" si="87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Monotributo David</v>
      </c>
      <c r="HH269" s="1">
        <f ca="1"/>
        <v>1</v>
      </c>
      <c r="HI269" s="4">
        <f ca="1"/>
        <v>42246</v>
      </c>
      <c r="HJ269" s="1" t="str">
        <f ca="1"/>
        <v/>
      </c>
      <c r="HK269" s="1" t="str">
        <f ca="1"/>
        <v/>
      </c>
      <c r="HL269" s="1">
        <f t="shared" ca="1" si="87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Movistar</v>
      </c>
      <c r="HH270" s="1">
        <f ca="1"/>
        <v>1</v>
      </c>
      <c r="HI270" s="4">
        <f ca="1"/>
        <v>10350</v>
      </c>
      <c r="HJ270" s="1" t="str">
        <f ca="1"/>
        <v/>
      </c>
      <c r="HK270" s="1" t="str">
        <f ca="1"/>
        <v/>
      </c>
      <c r="HL270" s="1">
        <f t="shared" ca="1" si="87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46174</v>
      </c>
      <c r="HG271" s="1" t="str">
        <f ca="1"/>
        <v>Victoria Seguros</v>
      </c>
      <c r="HH271" s="1">
        <f ca="1"/>
        <v>1</v>
      </c>
      <c r="HI271" s="4">
        <f ca="1"/>
        <v>123878</v>
      </c>
      <c r="HJ271" s="1" t="str">
        <f ca="1"/>
        <v/>
      </c>
      <c r="HK271" s="1" t="str">
        <f ca="1"/>
        <v/>
      </c>
      <c r="HL271" s="1">
        <f t="shared" ca="1" si="87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Aseg. Motovehicular</v>
      </c>
      <c r="HH272" s="1">
        <f ca="1"/>
        <v>2</v>
      </c>
      <c r="HI272" s="4">
        <f ca="1"/>
        <v>141512.71</v>
      </c>
      <c r="HJ272" s="1" t="str">
        <f ca="1"/>
        <v/>
      </c>
      <c r="HK272" s="1" t="str">
        <f ca="1"/>
        <v/>
      </c>
      <c r="HL272" s="1">
        <f t="shared" ca="1" si="87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46175</v>
      </c>
      <c r="HG273" s="1" t="str">
        <f ca="1"/>
        <v>Personal Flow</v>
      </c>
      <c r="HH273" s="1">
        <f ca="1"/>
        <v>2</v>
      </c>
      <c r="HI273" s="4">
        <f ca="1"/>
        <v>71670</v>
      </c>
      <c r="HJ273" s="1" t="str">
        <f ca="1"/>
        <v/>
      </c>
      <c r="HK273" s="1" t="str">
        <f ca="1"/>
        <v/>
      </c>
      <c r="HL273" s="1">
        <f t="shared" ca="1" si="87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40577.730000000003</v>
      </c>
      <c r="HJ274" s="1" t="str">
        <f ca="1"/>
        <v/>
      </c>
      <c r="HK274" s="1" t="str">
        <f ca="1"/>
        <v/>
      </c>
      <c r="HL274" s="1">
        <f t="shared" ca="1" si="87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7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7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7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7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7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7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7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7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7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7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1316757</v>
      </c>
      <c r="HJ285" s="1" t="str">
        <f ca="1"/>
        <v/>
      </c>
      <c r="HK285" s="1" t="str">
        <f ca="1"/>
        <v/>
      </c>
      <c r="HL285" s="1">
        <f t="shared" ca="1" si="87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390678</v>
      </c>
      <c r="HJ286" s="1" t="str">
        <f ca="1"/>
        <v/>
      </c>
      <c r="HK286" s="1" t="str">
        <f ca="1"/>
        <v/>
      </c>
      <c r="HL286" s="1">
        <f t="shared" ca="1" si="87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7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7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7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7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7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7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7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7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7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7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7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7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7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7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7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7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7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304" s="1">
        <f ca="1"/>
        <v>1</v>
      </c>
      <c r="HI304" s="4">
        <f ca="1"/>
        <v>90342</v>
      </c>
      <c r="HJ304" s="1" t="str">
        <f ca="1"/>
        <v/>
      </c>
      <c r="HK304" s="1" t="str">
        <f ca="1"/>
        <v/>
      </c>
      <c r="HL304" s="1">
        <f t="shared" ca="1" si="87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IVAN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7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Mayeski</v>
      </c>
      <c r="HH306" s="1">
        <f ca="1"/>
        <v>1</v>
      </c>
      <c r="HI306" s="4">
        <f ca="1"/>
        <v>52280</v>
      </c>
      <c r="HJ306" s="1" t="str">
        <f ca="1"/>
        <v/>
      </c>
      <c r="HK306" s="1" t="str">
        <f ca="1"/>
        <v/>
      </c>
      <c r="HL306" s="1">
        <f t="shared" ca="1" si="87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Monotributo David</v>
      </c>
      <c r="HH307" s="1">
        <f ca="1"/>
        <v>1</v>
      </c>
      <c r="HI307" s="4">
        <f ca="1"/>
        <v>42246</v>
      </c>
      <c r="HJ307" s="1" t="str">
        <f ca="1"/>
        <v/>
      </c>
      <c r="HK307" s="1" t="str">
        <f ca="1"/>
        <v/>
      </c>
      <c r="HL307" s="1">
        <f t="shared" ca="1" si="87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Movistar</v>
      </c>
      <c r="HH308" s="1">
        <f ca="1"/>
        <v>1</v>
      </c>
      <c r="HI308" s="4">
        <f ca="1"/>
        <v>10350</v>
      </c>
      <c r="HJ308" s="1" t="str">
        <f ca="1"/>
        <v/>
      </c>
      <c r="HK308" s="1" t="str">
        <f ca="1"/>
        <v/>
      </c>
      <c r="HL308" s="1">
        <f t="shared" ca="1" si="87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46204</v>
      </c>
      <c r="HG309" s="1" t="str">
        <f ca="1"/>
        <v>Victoria Seguros</v>
      </c>
      <c r="HH309" s="1">
        <f ca="1"/>
        <v>1</v>
      </c>
      <c r="HI309" s="4">
        <f ca="1"/>
        <v>123878</v>
      </c>
      <c r="HJ309" s="1" t="str">
        <f ca="1"/>
        <v/>
      </c>
      <c r="HK309" s="1" t="str">
        <f ca="1"/>
        <v/>
      </c>
      <c r="HL309" s="1">
        <f t="shared" ca="1" si="87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Aseg. Motovehicular</v>
      </c>
      <c r="HH310" s="1">
        <f ca="1"/>
        <v>2</v>
      </c>
      <c r="HI310" s="4">
        <f ca="1"/>
        <v>141512.71</v>
      </c>
      <c r="HJ310" s="1" t="str">
        <f ca="1"/>
        <v/>
      </c>
      <c r="HK310" s="1" t="str">
        <f ca="1"/>
        <v/>
      </c>
      <c r="HL310" s="1">
        <f t="shared" ca="1" si="87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46205</v>
      </c>
      <c r="HG311" s="1" t="str">
        <f ca="1"/>
        <v>Personal Flow</v>
      </c>
      <c r="HH311" s="1">
        <f ca="1"/>
        <v>2</v>
      </c>
      <c r="HI311" s="4">
        <f ca="1"/>
        <v>71670</v>
      </c>
      <c r="HJ311" s="1" t="str">
        <f ca="1"/>
        <v/>
      </c>
      <c r="HK311" s="1" t="str">
        <f ca="1"/>
        <v/>
      </c>
      <c r="HL311" s="1">
        <f t="shared" ca="1" si="87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7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7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7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7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7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7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7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7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1316757</v>
      </c>
      <c r="HJ320" s="1" t="str">
        <f ca="1"/>
        <v/>
      </c>
      <c r="HK320" s="1" t="str">
        <f ca="1"/>
        <v/>
      </c>
      <c r="HL320" s="1">
        <f t="shared" ca="1" si="87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390678</v>
      </c>
      <c r="HJ321" s="1" t="str">
        <f ca="1"/>
        <v/>
      </c>
      <c r="HK321" s="1" t="str">
        <f ca="1"/>
        <v/>
      </c>
      <c r="HL321" s="1">
        <f t="shared" ca="1" si="87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7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7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7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8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8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8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8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8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8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8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8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8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8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8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8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8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8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8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8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8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8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8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8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8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8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8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8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8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8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8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8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8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8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8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8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8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8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8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8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8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8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8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8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8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8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8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8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8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8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8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8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8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8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8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8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8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8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8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8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8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8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8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8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8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8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8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8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9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9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9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9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9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9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9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9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9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9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9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9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9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9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9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9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9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9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9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9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9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9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9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9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9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9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9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9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9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9"/>
        <v>417</v>
      </c>
    </row>
    <row r="419" spans="214:220" x14ac:dyDescent="0.2">
      <c r="HL419" s="1">
        <f t="shared" ca="1" si="89"/>
        <v>417</v>
      </c>
    </row>
    <row r="420" spans="214:220" x14ac:dyDescent="0.2">
      <c r="HL420" s="1">
        <f t="shared" ca="1" si="89"/>
        <v>417</v>
      </c>
    </row>
    <row r="421" spans="214:220" x14ac:dyDescent="0.2">
      <c r="HL421" s="1">
        <f t="shared" ca="1" si="89"/>
        <v>417</v>
      </c>
    </row>
    <row r="422" spans="214:220" x14ac:dyDescent="0.2">
      <c r="HL422" s="1">
        <f t="shared" ca="1" si="89"/>
        <v>417</v>
      </c>
    </row>
    <row r="423" spans="214:220" x14ac:dyDescent="0.2">
      <c r="HL423" s="1">
        <f t="shared" ca="1" si="89"/>
        <v>417</v>
      </c>
    </row>
    <row r="424" spans="214:220" x14ac:dyDescent="0.2">
      <c r="HL424" s="1">
        <f t="shared" ca="1" si="89"/>
        <v>417</v>
      </c>
    </row>
    <row r="425" spans="214:220" x14ac:dyDescent="0.2">
      <c r="HL425" s="1">
        <f t="shared" ca="1" si="89"/>
        <v>417</v>
      </c>
    </row>
    <row r="426" spans="214:220" x14ac:dyDescent="0.2">
      <c r="HL426" s="1">
        <f t="shared" ca="1" si="89"/>
        <v>417</v>
      </c>
    </row>
    <row r="427" spans="214:220" x14ac:dyDescent="0.2">
      <c r="HL427" s="1">
        <f t="shared" ca="1" si="89"/>
        <v>417</v>
      </c>
    </row>
    <row r="428" spans="214:220" x14ac:dyDescent="0.2">
      <c r="HL428" s="1">
        <f t="shared" ca="1" si="89"/>
        <v>417</v>
      </c>
    </row>
    <row r="429" spans="214:220" x14ac:dyDescent="0.2">
      <c r="HL429" s="1">
        <f t="shared" ca="1" si="89"/>
        <v>417</v>
      </c>
    </row>
    <row r="430" spans="214:220" x14ac:dyDescent="0.2">
      <c r="HL430" s="1">
        <f t="shared" ca="1" si="89"/>
        <v>417</v>
      </c>
    </row>
    <row r="431" spans="214:220" x14ac:dyDescent="0.2">
      <c r="HL431" s="1">
        <f t="shared" ca="1" si="89"/>
        <v>417</v>
      </c>
    </row>
    <row r="432" spans="214:220" x14ac:dyDescent="0.2">
      <c r="HL432" s="1">
        <f t="shared" ca="1" si="89"/>
        <v>417</v>
      </c>
    </row>
    <row r="433" spans="220:220" x14ac:dyDescent="0.2">
      <c r="HL433" s="1">
        <f t="shared" ca="1" si="89"/>
        <v>417</v>
      </c>
    </row>
    <row r="434" spans="220:220" x14ac:dyDescent="0.2">
      <c r="HL434" s="1">
        <f t="shared" ca="1" si="89"/>
        <v>417</v>
      </c>
    </row>
    <row r="435" spans="220:220" x14ac:dyDescent="0.2">
      <c r="HL435" s="1">
        <f t="shared" ca="1" si="89"/>
        <v>417</v>
      </c>
    </row>
    <row r="436" spans="220:220" x14ac:dyDescent="0.2">
      <c r="HL436" s="1">
        <f t="shared" ca="1" si="89"/>
        <v>417</v>
      </c>
    </row>
    <row r="437" spans="220:220" x14ac:dyDescent="0.2">
      <c r="HL437" s="1">
        <f t="shared" ca="1" si="89"/>
        <v>417</v>
      </c>
    </row>
    <row r="438" spans="220:220" x14ac:dyDescent="0.2">
      <c r="HL438" s="1">
        <f t="shared" ca="1" si="89"/>
        <v>417</v>
      </c>
    </row>
    <row r="439" spans="220:220" x14ac:dyDescent="0.2">
      <c r="HL439" s="1">
        <f t="shared" ca="1" si="89"/>
        <v>417</v>
      </c>
    </row>
    <row r="440" spans="220:220" x14ac:dyDescent="0.2">
      <c r="HL440" s="1">
        <f t="shared" ca="1" si="89"/>
        <v>417</v>
      </c>
    </row>
    <row r="441" spans="220:220" x14ac:dyDescent="0.2">
      <c r="HL441" s="1">
        <f t="shared" ca="1" si="89"/>
        <v>417</v>
      </c>
    </row>
    <row r="442" spans="220:220" x14ac:dyDescent="0.2">
      <c r="HL442" s="1">
        <f t="shared" ca="1" si="89"/>
        <v>417</v>
      </c>
    </row>
    <row r="443" spans="220:220" x14ac:dyDescent="0.2">
      <c r="HL443" s="1">
        <f t="shared" ca="1" si="89"/>
        <v>417</v>
      </c>
    </row>
    <row r="444" spans="220:220" x14ac:dyDescent="0.2">
      <c r="HL444" s="1">
        <f t="shared" ca="1" si="89"/>
        <v>417</v>
      </c>
    </row>
    <row r="445" spans="220:220" x14ac:dyDescent="0.2">
      <c r="HL445" s="1">
        <f t="shared" ca="1" si="89"/>
        <v>417</v>
      </c>
    </row>
    <row r="446" spans="220:220" x14ac:dyDescent="0.2">
      <c r="HL446" s="1">
        <f t="shared" ca="1" si="89"/>
        <v>417</v>
      </c>
    </row>
    <row r="447" spans="220:220" x14ac:dyDescent="0.2">
      <c r="HL447" s="1">
        <f t="shared" ca="1" si="89"/>
        <v>417</v>
      </c>
    </row>
    <row r="448" spans="220:220" x14ac:dyDescent="0.2">
      <c r="HL448" s="1">
        <f t="shared" ca="1" si="89"/>
        <v>417</v>
      </c>
    </row>
    <row r="449" spans="220:220" x14ac:dyDescent="0.2">
      <c r="HL449" s="1">
        <f t="shared" ca="1" si="89"/>
        <v>417</v>
      </c>
    </row>
    <row r="450" spans="220:220" x14ac:dyDescent="0.2">
      <c r="HL450" s="1">
        <f t="shared" ca="1" si="89"/>
        <v>417</v>
      </c>
    </row>
    <row r="451" spans="220:220" x14ac:dyDescent="0.2">
      <c r="HL451" s="1">
        <f t="shared" ca="1" si="89"/>
        <v>417</v>
      </c>
    </row>
    <row r="452" spans="220:220" x14ac:dyDescent="0.2">
      <c r="HL452" s="1">
        <f t="shared" ca="1" si="89"/>
        <v>417</v>
      </c>
    </row>
    <row r="453" spans="220:220" x14ac:dyDescent="0.2">
      <c r="HL453" s="1">
        <f t="shared" ref="HL453:HL516" ca="1" si="90">+IF(ISNUMBER(HG453),ROW(),HL452)</f>
        <v>417</v>
      </c>
    </row>
    <row r="454" spans="220:220" x14ac:dyDescent="0.2">
      <c r="HL454" s="1">
        <f t="shared" ca="1" si="90"/>
        <v>417</v>
      </c>
    </row>
    <row r="455" spans="220:220" x14ac:dyDescent="0.2">
      <c r="HL455" s="1">
        <f t="shared" ca="1" si="90"/>
        <v>417</v>
      </c>
    </row>
    <row r="456" spans="220:220" x14ac:dyDescent="0.2">
      <c r="HL456" s="1">
        <f t="shared" ca="1" si="90"/>
        <v>417</v>
      </c>
    </row>
    <row r="457" spans="220:220" x14ac:dyDescent="0.2">
      <c r="HL457" s="1">
        <f t="shared" ca="1" si="90"/>
        <v>417</v>
      </c>
    </row>
    <row r="458" spans="220:220" x14ac:dyDescent="0.2">
      <c r="HL458" s="1">
        <f t="shared" ca="1" si="90"/>
        <v>417</v>
      </c>
    </row>
    <row r="459" spans="220:220" x14ac:dyDescent="0.2">
      <c r="HL459" s="1">
        <f t="shared" ca="1" si="90"/>
        <v>417</v>
      </c>
    </row>
    <row r="460" spans="220:220" x14ac:dyDescent="0.2">
      <c r="HL460" s="1">
        <f t="shared" ca="1" si="90"/>
        <v>417</v>
      </c>
    </row>
    <row r="461" spans="220:220" x14ac:dyDescent="0.2">
      <c r="HL461" s="1">
        <f t="shared" ca="1" si="90"/>
        <v>417</v>
      </c>
    </row>
    <row r="462" spans="220:220" x14ac:dyDescent="0.2">
      <c r="HL462" s="1">
        <f t="shared" ca="1" si="90"/>
        <v>417</v>
      </c>
    </row>
    <row r="463" spans="220:220" x14ac:dyDescent="0.2">
      <c r="HL463" s="1">
        <f t="shared" ca="1" si="90"/>
        <v>417</v>
      </c>
    </row>
    <row r="464" spans="220:220" x14ac:dyDescent="0.2">
      <c r="HL464" s="1">
        <f t="shared" ca="1" si="90"/>
        <v>417</v>
      </c>
    </row>
    <row r="465" spans="220:220" x14ac:dyDescent="0.2">
      <c r="HL465" s="1">
        <f t="shared" ca="1" si="90"/>
        <v>417</v>
      </c>
    </row>
    <row r="466" spans="220:220" x14ac:dyDescent="0.2">
      <c r="HL466" s="1">
        <f t="shared" ca="1" si="90"/>
        <v>417</v>
      </c>
    </row>
    <row r="467" spans="220:220" x14ac:dyDescent="0.2">
      <c r="HL467" s="1">
        <f t="shared" ca="1" si="90"/>
        <v>417</v>
      </c>
    </row>
    <row r="468" spans="220:220" x14ac:dyDescent="0.2">
      <c r="HL468" s="1">
        <f t="shared" ca="1" si="90"/>
        <v>417</v>
      </c>
    </row>
    <row r="469" spans="220:220" x14ac:dyDescent="0.2">
      <c r="HL469" s="1">
        <f t="shared" ca="1" si="90"/>
        <v>417</v>
      </c>
    </row>
    <row r="470" spans="220:220" x14ac:dyDescent="0.2">
      <c r="HL470" s="1">
        <f t="shared" ca="1" si="90"/>
        <v>417</v>
      </c>
    </row>
    <row r="471" spans="220:220" x14ac:dyDescent="0.2">
      <c r="HL471" s="1">
        <f t="shared" ca="1" si="90"/>
        <v>417</v>
      </c>
    </row>
    <row r="472" spans="220:220" x14ac:dyDescent="0.2">
      <c r="HL472" s="1">
        <f t="shared" ca="1" si="90"/>
        <v>417</v>
      </c>
    </row>
    <row r="473" spans="220:220" x14ac:dyDescent="0.2">
      <c r="HL473" s="1">
        <f t="shared" ca="1" si="90"/>
        <v>417</v>
      </c>
    </row>
    <row r="474" spans="220:220" x14ac:dyDescent="0.2">
      <c r="HL474" s="1">
        <f t="shared" ca="1" si="90"/>
        <v>417</v>
      </c>
    </row>
    <row r="475" spans="220:220" x14ac:dyDescent="0.2">
      <c r="HL475" s="1">
        <f t="shared" ca="1" si="90"/>
        <v>417</v>
      </c>
    </row>
    <row r="476" spans="220:220" x14ac:dyDescent="0.2">
      <c r="HL476" s="1">
        <f t="shared" ca="1" si="90"/>
        <v>417</v>
      </c>
    </row>
    <row r="477" spans="220:220" x14ac:dyDescent="0.2">
      <c r="HL477" s="1">
        <f t="shared" ca="1" si="90"/>
        <v>417</v>
      </c>
    </row>
    <row r="478" spans="220:220" x14ac:dyDescent="0.2">
      <c r="HL478" s="1">
        <f t="shared" ca="1" si="90"/>
        <v>417</v>
      </c>
    </row>
    <row r="479" spans="220:220" x14ac:dyDescent="0.2">
      <c r="HL479" s="1">
        <f t="shared" ca="1" si="90"/>
        <v>417</v>
      </c>
    </row>
    <row r="480" spans="220:220" x14ac:dyDescent="0.2">
      <c r="HL480" s="1">
        <f t="shared" ca="1" si="90"/>
        <v>417</v>
      </c>
    </row>
    <row r="481" spans="220:220" x14ac:dyDescent="0.2">
      <c r="HL481" s="1">
        <f t="shared" ca="1" si="90"/>
        <v>417</v>
      </c>
    </row>
    <row r="482" spans="220:220" x14ac:dyDescent="0.2">
      <c r="HL482" s="1">
        <f t="shared" ca="1" si="90"/>
        <v>417</v>
      </c>
    </row>
    <row r="483" spans="220:220" x14ac:dyDescent="0.2">
      <c r="HL483" s="1">
        <f t="shared" ca="1" si="90"/>
        <v>417</v>
      </c>
    </row>
    <row r="484" spans="220:220" x14ac:dyDescent="0.2">
      <c r="HL484" s="1">
        <f t="shared" ca="1" si="90"/>
        <v>417</v>
      </c>
    </row>
    <row r="485" spans="220:220" x14ac:dyDescent="0.2">
      <c r="HL485" s="1">
        <f t="shared" ca="1" si="90"/>
        <v>417</v>
      </c>
    </row>
    <row r="486" spans="220:220" x14ac:dyDescent="0.2">
      <c r="HL486" s="1">
        <f t="shared" ca="1" si="90"/>
        <v>417</v>
      </c>
    </row>
    <row r="487" spans="220:220" x14ac:dyDescent="0.2">
      <c r="HL487" s="1">
        <f t="shared" ca="1" si="90"/>
        <v>417</v>
      </c>
    </row>
    <row r="488" spans="220:220" x14ac:dyDescent="0.2">
      <c r="HL488" s="1">
        <f t="shared" ca="1" si="90"/>
        <v>417</v>
      </c>
    </row>
    <row r="489" spans="220:220" x14ac:dyDescent="0.2">
      <c r="HL489" s="1">
        <f t="shared" ca="1" si="90"/>
        <v>417</v>
      </c>
    </row>
    <row r="490" spans="220:220" x14ac:dyDescent="0.2">
      <c r="HL490" s="1">
        <f t="shared" ca="1" si="90"/>
        <v>417</v>
      </c>
    </row>
    <row r="491" spans="220:220" x14ac:dyDescent="0.2">
      <c r="HL491" s="1">
        <f t="shared" ca="1" si="90"/>
        <v>417</v>
      </c>
    </row>
    <row r="492" spans="220:220" x14ac:dyDescent="0.2">
      <c r="HL492" s="1">
        <f t="shared" ca="1" si="90"/>
        <v>417</v>
      </c>
    </row>
    <row r="493" spans="220:220" x14ac:dyDescent="0.2">
      <c r="HL493" s="1">
        <f t="shared" ca="1" si="90"/>
        <v>417</v>
      </c>
    </row>
    <row r="494" spans="220:220" x14ac:dyDescent="0.2">
      <c r="HL494" s="1">
        <f t="shared" ca="1" si="90"/>
        <v>417</v>
      </c>
    </row>
    <row r="495" spans="220:220" x14ac:dyDescent="0.2">
      <c r="HL495" s="1">
        <f t="shared" ca="1" si="90"/>
        <v>417</v>
      </c>
    </row>
    <row r="496" spans="220:220" x14ac:dyDescent="0.2">
      <c r="HL496" s="1">
        <f t="shared" ca="1" si="90"/>
        <v>417</v>
      </c>
    </row>
    <row r="497" spans="220:220" x14ac:dyDescent="0.2">
      <c r="HL497" s="1">
        <f t="shared" ca="1" si="90"/>
        <v>417</v>
      </c>
    </row>
    <row r="498" spans="220:220" x14ac:dyDescent="0.2">
      <c r="HL498" s="1">
        <f t="shared" ca="1" si="90"/>
        <v>417</v>
      </c>
    </row>
    <row r="499" spans="220:220" x14ac:dyDescent="0.2">
      <c r="HL499" s="1">
        <f t="shared" ca="1" si="90"/>
        <v>417</v>
      </c>
    </row>
    <row r="500" spans="220:220" x14ac:dyDescent="0.2">
      <c r="HL500" s="1">
        <f t="shared" ca="1" si="90"/>
        <v>417</v>
      </c>
    </row>
    <row r="501" spans="220:220" x14ac:dyDescent="0.2">
      <c r="HL501" s="1">
        <f t="shared" ca="1" si="90"/>
        <v>417</v>
      </c>
    </row>
    <row r="502" spans="220:220" x14ac:dyDescent="0.2">
      <c r="HL502" s="1">
        <f t="shared" ca="1" si="90"/>
        <v>417</v>
      </c>
    </row>
    <row r="503" spans="220:220" x14ac:dyDescent="0.2">
      <c r="HL503" s="1">
        <f t="shared" ca="1" si="90"/>
        <v>417</v>
      </c>
    </row>
    <row r="504" spans="220:220" x14ac:dyDescent="0.2">
      <c r="HL504" s="1">
        <f t="shared" ca="1" si="90"/>
        <v>417</v>
      </c>
    </row>
    <row r="505" spans="220:220" x14ac:dyDescent="0.2">
      <c r="HL505" s="1">
        <f t="shared" ca="1" si="90"/>
        <v>417</v>
      </c>
    </row>
    <row r="506" spans="220:220" x14ac:dyDescent="0.2">
      <c r="HL506" s="1">
        <f t="shared" ca="1" si="90"/>
        <v>417</v>
      </c>
    </row>
    <row r="507" spans="220:220" x14ac:dyDescent="0.2">
      <c r="HL507" s="1">
        <f t="shared" ca="1" si="90"/>
        <v>417</v>
      </c>
    </row>
    <row r="508" spans="220:220" x14ac:dyDescent="0.2">
      <c r="HL508" s="1">
        <f t="shared" ca="1" si="90"/>
        <v>417</v>
      </c>
    </row>
    <row r="509" spans="220:220" x14ac:dyDescent="0.2">
      <c r="HL509" s="1">
        <f t="shared" ca="1" si="90"/>
        <v>417</v>
      </c>
    </row>
    <row r="510" spans="220:220" x14ac:dyDescent="0.2">
      <c r="HL510" s="1">
        <f t="shared" ca="1" si="90"/>
        <v>417</v>
      </c>
    </row>
    <row r="511" spans="220:220" x14ac:dyDescent="0.2">
      <c r="HL511" s="1">
        <f t="shared" ca="1" si="90"/>
        <v>417</v>
      </c>
    </row>
    <row r="512" spans="220:220" x14ac:dyDescent="0.2">
      <c r="HL512" s="1">
        <f t="shared" ca="1" si="90"/>
        <v>417</v>
      </c>
    </row>
    <row r="513" spans="220:220" x14ac:dyDescent="0.2">
      <c r="HL513" s="1">
        <f t="shared" ca="1" si="90"/>
        <v>417</v>
      </c>
    </row>
    <row r="514" spans="220:220" x14ac:dyDescent="0.2">
      <c r="HL514" s="1">
        <f t="shared" ca="1" si="90"/>
        <v>417</v>
      </c>
    </row>
    <row r="515" spans="220:220" x14ac:dyDescent="0.2">
      <c r="HL515" s="1">
        <f t="shared" ca="1" si="90"/>
        <v>417</v>
      </c>
    </row>
    <row r="516" spans="220:220" x14ac:dyDescent="0.2">
      <c r="HL516" s="1">
        <f t="shared" ca="1" si="90"/>
        <v>417</v>
      </c>
    </row>
    <row r="517" spans="220:220" x14ac:dyDescent="0.2">
      <c r="HL517" s="1">
        <f t="shared" ref="HL517" ca="1" si="91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36 A38:A1048576">
    <cfRule type="containsText" dxfId="6" priority="3" operator="containsText" text="presta">
      <formula>NOT(ISERROR(SEARCH("presta",A1)))</formula>
    </cfRule>
  </conditionalFormatting>
  <conditionalFormatting sqref="A1:A1048576">
    <cfRule type="containsText" dxfId="5" priority="1" operator="containsText" text="Tarjet">
      <formula>NOT(ISERROR(SEARCH("Tarjet",A1)))</formula>
    </cfRule>
  </conditionalFormatting>
  <conditionalFormatting sqref="A37">
    <cfRule type="expression" dxfId="4" priority="2">
      <formula>IF(A37=DAY(TODAY()),TRUE,FALSE)</formula>
    </cfRule>
  </conditionalFormatting>
  <conditionalFormatting sqref="B1:B1048576">
    <cfRule type="expression" dxfId="3" priority="4">
      <formula>IF(B1=DAY(TODAY()),TRUE,FALSE)</formula>
    </cfRule>
  </conditionalFormatting>
  <dataValidations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J1" zoomScaleNormal="100" workbookViewId="0">
      <pane ySplit="2" topLeftCell="A200" activePane="bottomLeft" state="frozen"/>
      <selection pane="bottomLeft" activeCell="Q222" sqref="P222:S222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4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72" t="s">
        <v>89</v>
      </c>
      <c r="F1" s="173"/>
      <c r="G1" s="173"/>
      <c r="H1" s="173"/>
      <c r="I1" s="174"/>
      <c r="K1" s="151" t="s">
        <v>92</v>
      </c>
      <c r="L1" s="152"/>
      <c r="M1" s="152"/>
      <c r="N1" s="153"/>
      <c r="P1" s="151" t="s">
        <v>93</v>
      </c>
      <c r="Q1" s="152"/>
      <c r="R1" s="152"/>
      <c r="S1" s="153"/>
      <c r="U1" s="148" t="s">
        <v>100</v>
      </c>
      <c r="V1" s="149"/>
      <c r="W1" s="149"/>
      <c r="X1" s="150"/>
      <c r="Y1" s="67"/>
      <c r="AA1" s="170" t="s">
        <v>139</v>
      </c>
      <c r="AB1" s="171"/>
      <c r="AC1" s="68" t="s">
        <v>101</v>
      </c>
      <c r="AE1" s="68" t="s">
        <v>102</v>
      </c>
      <c r="AH1" s="69">
        <v>46023</v>
      </c>
      <c r="AJ1" s="66" t="s">
        <v>256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246</v>
      </c>
      <c r="N2" s="71" t="s">
        <v>90</v>
      </c>
      <c r="P2" s="71" t="s">
        <v>81</v>
      </c>
      <c r="Q2" s="71" t="s">
        <v>85</v>
      </c>
      <c r="R2" s="71" t="s">
        <v>246</v>
      </c>
      <c r="S2" s="71" t="s">
        <v>90</v>
      </c>
      <c r="U2" s="89" t="s">
        <v>81</v>
      </c>
      <c r="V2" s="90" t="s">
        <v>85</v>
      </c>
      <c r="W2" s="91" t="s">
        <v>90</v>
      </c>
      <c r="X2" s="91" t="s">
        <v>96</v>
      </c>
      <c r="Y2" s="72"/>
      <c r="AA2" s="73" t="s">
        <v>98</v>
      </c>
      <c r="AB2" s="74" t="s">
        <v>99</v>
      </c>
      <c r="AC2" s="75">
        <v>4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6"/>
      <c r="N3" s="111">
        <v>333500</v>
      </c>
      <c r="P3" s="80">
        <v>46021</v>
      </c>
      <c r="Q3" s="78" t="s">
        <v>95</v>
      </c>
      <c r="R3" s="116"/>
      <c r="S3" s="100">
        <f t="shared" ref="S3" si="0">4500+12000+4000</f>
        <v>20500</v>
      </c>
      <c r="U3" s="23" cm="1">
        <f t="array" ref="U3:X110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46113</v>
      </c>
      <c r="V3" s="1">
        <v>0</v>
      </c>
      <c r="W3" s="120">
        <v>3261850</v>
      </c>
      <c r="X3" s="93" t="str">
        <v>Sueldos</v>
      </c>
      <c r="Y3" s="82">
        <f t="shared" ref="Y3" si="1">IF(W3="",0,W3/$AB$7)</f>
        <v>8.3918694430573121E-2</v>
      </c>
      <c r="AA3" s="95" t="str" cm="1">
        <f t="array" ref="AA3:AA6">_xlfn._xlws.FILTER(_xlfn.UNIQUE(X3:X5001),_xlfn.UNIQUE(X3:X5001)&lt;&gt;0)</f>
        <v>Sueldos</v>
      </c>
      <c r="AB3" s="96">
        <f>+SUMIFS($W$3:W5001,$X$3:X5001,AA3)</f>
        <v>8470315</v>
      </c>
      <c r="AC3" s="99">
        <f t="shared" ref="AC3:AC6" si="2">+AB3/$AB$7</f>
        <v>0.21791859718126216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6"/>
      <c r="N4" s="111">
        <v>20000</v>
      </c>
      <c r="P4" s="80">
        <v>46024</v>
      </c>
      <c r="Q4" s="78" t="s">
        <v>105</v>
      </c>
      <c r="R4" s="116"/>
      <c r="S4" s="100">
        <v>40000</v>
      </c>
      <c r="U4" s="23">
        <v>46113</v>
      </c>
      <c r="V4" s="1" t="str">
        <v>Tarjeta Galicia - VISA</v>
      </c>
      <c r="W4" s="133">
        <v>717341</v>
      </c>
      <c r="X4" s="93" t="str">
        <v>GFijos</v>
      </c>
      <c r="Y4" s="82"/>
      <c r="AA4" s="95" t="str">
        <v>GFijos</v>
      </c>
      <c r="AB4" s="96">
        <f>+SUMIFS($W$3:W5002,$X$3:X5002,AA4)</f>
        <v>7532768.4900000002</v>
      </c>
      <c r="AC4" s="99">
        <f t="shared" si="2"/>
        <v>0.19379802784571937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6"/>
      <c r="N5" s="111">
        <v>130000</v>
      </c>
      <c r="P5" s="80">
        <v>46025</v>
      </c>
      <c r="Q5" s="78" t="s">
        <v>106</v>
      </c>
      <c r="R5" s="116"/>
      <c r="S5" s="100">
        <v>450000</v>
      </c>
      <c r="U5" s="23">
        <v>46113</v>
      </c>
      <c r="V5" s="1" t="str">
        <v>Autonomo</v>
      </c>
      <c r="W5" s="92">
        <v>90342</v>
      </c>
      <c r="X5" s="93" t="str">
        <v>GFijos</v>
      </c>
      <c r="Y5" s="82"/>
      <c r="AA5" s="95" t="str">
        <v>Mercaderia</v>
      </c>
      <c r="AB5" s="96">
        <f>+SUMIFS($W$3:W5003,$X$3:X5003,AA5)</f>
        <v>17852266.510000002</v>
      </c>
      <c r="AC5" s="99">
        <f t="shared" si="2"/>
        <v>0.45929116855338054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6"/>
      <c r="N6" s="111">
        <v>97440</v>
      </c>
      <c r="P6" s="80">
        <v>46025</v>
      </c>
      <c r="Q6" s="78" t="s">
        <v>107</v>
      </c>
      <c r="R6" s="116"/>
      <c r="S6" s="100">
        <v>325000</v>
      </c>
      <c r="U6" s="23">
        <v>46113</v>
      </c>
      <c r="V6" s="1" t="str">
        <v>Monotributo IVAN</v>
      </c>
      <c r="W6" s="4">
        <v>52280</v>
      </c>
      <c r="X6" s="93" t="str">
        <v>GFijos</v>
      </c>
      <c r="Y6" s="82"/>
      <c r="AA6" s="97" t="str">
        <v>GVarios</v>
      </c>
      <c r="AB6" s="98">
        <f>+SUMIFS($W$3:W5004,$X$3:X5004,AA6)</f>
        <v>5013820</v>
      </c>
      <c r="AC6" s="99">
        <f t="shared" si="2"/>
        <v>0.12899220641963799</v>
      </c>
      <c r="AD6" s="76">
        <f t="shared" si="3"/>
        <v>46082</v>
      </c>
      <c r="AG6" s="79" t="str">
        <v>abril</v>
      </c>
      <c r="AH6" s="81">
        <v>38869170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6"/>
      <c r="N7" s="111">
        <v>160000</v>
      </c>
      <c r="P7" s="80">
        <v>46023</v>
      </c>
      <c r="Q7" s="78" t="s">
        <v>108</v>
      </c>
      <c r="R7" s="116"/>
      <c r="S7" s="100">
        <v>45353</v>
      </c>
      <c r="U7" s="23">
        <v>46113</v>
      </c>
      <c r="V7" s="1" t="str">
        <v>Monotributo Mayeski</v>
      </c>
      <c r="W7" s="120">
        <v>52280</v>
      </c>
      <c r="X7" s="93" t="str">
        <v>GFijos</v>
      </c>
      <c r="Y7" s="82"/>
      <c r="AA7" s="83" t="s">
        <v>97</v>
      </c>
      <c r="AB7" s="101">
        <f>+SUM(AB3:AB6)</f>
        <v>38869170</v>
      </c>
      <c r="AD7" s="76">
        <f t="shared" si="3"/>
        <v>46113</v>
      </c>
      <c r="AG7" s="79" t="str">
        <v>mayo</v>
      </c>
      <c r="AH7" s="81">
        <v>2078171.58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6"/>
      <c r="N8" s="111">
        <v>52030</v>
      </c>
      <c r="P8" s="80">
        <v>46027</v>
      </c>
      <c r="Q8" s="78" t="s">
        <v>95</v>
      </c>
      <c r="R8" s="116"/>
      <c r="S8" s="100">
        <v>16000</v>
      </c>
      <c r="U8" s="23">
        <v>46113</v>
      </c>
      <c r="V8" s="1" t="str">
        <v>Monotributo David</v>
      </c>
      <c r="W8" s="120">
        <v>42246</v>
      </c>
      <c r="X8" s="93" t="str">
        <v>GFijos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6"/>
      <c r="N9" s="111">
        <v>33500</v>
      </c>
      <c r="P9" s="80">
        <v>46027</v>
      </c>
      <c r="Q9" s="78" t="s">
        <v>111</v>
      </c>
      <c r="R9" s="116"/>
      <c r="S9" s="100">
        <v>56000</v>
      </c>
      <c r="U9" s="23">
        <v>46113</v>
      </c>
      <c r="V9" s="1" t="str">
        <v>Movistar</v>
      </c>
      <c r="W9" s="92">
        <v>10350</v>
      </c>
      <c r="X9" s="93" t="str">
        <v>GFijos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6"/>
      <c r="N10" s="111">
        <v>423000</v>
      </c>
      <c r="P10" s="80">
        <v>46027</v>
      </c>
      <c r="Q10" s="78" t="s">
        <v>105</v>
      </c>
      <c r="R10" s="116"/>
      <c r="S10" s="100">
        <v>40000</v>
      </c>
      <c r="U10" s="23">
        <v>46113</v>
      </c>
      <c r="V10" s="1" t="str">
        <v>Victoria Seguros</v>
      </c>
      <c r="W10" s="92">
        <v>123878</v>
      </c>
      <c r="X10" s="93" t="str">
        <v>GFijos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3100000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6"/>
      <c r="N11" s="111">
        <v>528000</v>
      </c>
      <c r="P11" s="80">
        <v>46027</v>
      </c>
      <c r="Q11" s="78" t="s">
        <v>112</v>
      </c>
      <c r="R11" s="116"/>
      <c r="S11" s="100">
        <v>92039</v>
      </c>
      <c r="U11" s="23">
        <v>46113</v>
      </c>
      <c r="V11" s="1" t="str">
        <v>Surplas</v>
      </c>
      <c r="W11" s="92">
        <v>252000</v>
      </c>
      <c r="X11" s="93" t="str">
        <v>Mercaderia</v>
      </c>
      <c r="Y11" s="82"/>
      <c r="AA11" s="78" t="s">
        <v>268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6"/>
      <c r="N12" s="111">
        <v>84000</v>
      </c>
      <c r="P12" s="80">
        <v>46027</v>
      </c>
      <c r="Q12" s="78" t="s">
        <v>113</v>
      </c>
      <c r="R12" s="116"/>
      <c r="S12" s="100">
        <v>7000</v>
      </c>
      <c r="U12" s="23">
        <v>46113</v>
      </c>
      <c r="V12" s="1" t="str">
        <v>Fader Plastic</v>
      </c>
      <c r="W12" s="157">
        <v>1339600</v>
      </c>
      <c r="X12" s="93" t="str">
        <v>Mercaderia</v>
      </c>
      <c r="Y12" s="82"/>
      <c r="AB12" s="154">
        <f>+AB10+AB11</f>
        <v>3100000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6"/>
      <c r="N13" s="111">
        <v>200000</v>
      </c>
      <c r="P13" s="80">
        <v>46028</v>
      </c>
      <c r="Q13" s="78" t="s">
        <v>135</v>
      </c>
      <c r="R13" s="116"/>
      <c r="S13" s="100">
        <v>50000</v>
      </c>
      <c r="U13" s="23">
        <v>46113</v>
      </c>
      <c r="V13" s="1" t="str">
        <v>ROBER</v>
      </c>
      <c r="W13" s="92">
        <v>400000</v>
      </c>
      <c r="X13" s="93" t="str">
        <v>Mercaderia</v>
      </c>
      <c r="Y13" s="82"/>
      <c r="AB13" s="102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6"/>
      <c r="N14" s="81">
        <v>160000</v>
      </c>
      <c r="P14" s="80">
        <v>46028</v>
      </c>
      <c r="Q14" s="78" t="s">
        <v>118</v>
      </c>
      <c r="R14" s="116"/>
      <c r="S14" s="100">
        <v>26000</v>
      </c>
      <c r="U14" s="23">
        <v>46113</v>
      </c>
      <c r="V14" s="1" t="str">
        <v>ROBER</v>
      </c>
      <c r="W14" s="92">
        <v>139044</v>
      </c>
      <c r="X14" s="93" t="str">
        <v>Mercaderia</v>
      </c>
      <c r="Y14" s="82"/>
      <c r="AB14" s="102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6"/>
      <c r="N15" s="111">
        <v>600000</v>
      </c>
      <c r="P15" s="80">
        <v>46028</v>
      </c>
      <c r="Q15" s="78" t="s">
        <v>113</v>
      </c>
      <c r="R15" s="116"/>
      <c r="S15" s="100">
        <v>5800</v>
      </c>
      <c r="U15" s="23">
        <v>46113</v>
      </c>
      <c r="V15" s="1" t="str">
        <v>REGAPLAS</v>
      </c>
      <c r="W15" s="92">
        <v>104000</v>
      </c>
      <c r="X15" s="93" t="str">
        <v>Mercaderia</v>
      </c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6"/>
      <c r="N16" s="111">
        <v>155141</v>
      </c>
      <c r="P16" s="80">
        <v>46029</v>
      </c>
      <c r="Q16" s="78" t="s">
        <v>119</v>
      </c>
      <c r="R16" s="116"/>
      <c r="S16" s="100">
        <v>125000</v>
      </c>
      <c r="U16" s="23">
        <v>46113</v>
      </c>
      <c r="V16" s="1" t="str">
        <v>Walter Gavetas</v>
      </c>
      <c r="W16" s="157">
        <v>215872</v>
      </c>
      <c r="X16" s="93" t="str">
        <v>Mercaderia</v>
      </c>
      <c r="Y16" s="82"/>
      <c r="AB16" s="102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6"/>
      <c r="N17" s="81">
        <v>62000</v>
      </c>
      <c r="P17" s="80">
        <v>46029</v>
      </c>
      <c r="Q17" s="78" t="s">
        <v>120</v>
      </c>
      <c r="R17" s="116"/>
      <c r="S17" s="100">
        <v>80000</v>
      </c>
      <c r="U17" s="23">
        <v>46113</v>
      </c>
      <c r="V17" s="1" t="str">
        <v>ArgenBroker</v>
      </c>
      <c r="W17" s="92">
        <v>244779</v>
      </c>
      <c r="X17" s="93" t="str">
        <v>Mercaderia</v>
      </c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6"/>
      <c r="N18" s="81">
        <v>64000</v>
      </c>
      <c r="P18" s="80">
        <v>46029</v>
      </c>
      <c r="Q18" s="78" t="s">
        <v>122</v>
      </c>
      <c r="R18" s="116"/>
      <c r="S18" s="100">
        <v>67339.759999999995</v>
      </c>
      <c r="U18" s="23">
        <v>46113</v>
      </c>
      <c r="V18" s="1" t="str">
        <v>Bateria Moura Parnet</v>
      </c>
      <c r="W18" s="92">
        <v>220000</v>
      </c>
      <c r="X18" s="93" t="str">
        <v>GVarios</v>
      </c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6"/>
      <c r="N19" s="111">
        <v>244104</v>
      </c>
      <c r="P19" s="80">
        <v>46029</v>
      </c>
      <c r="Q19" s="78" t="s">
        <v>124</v>
      </c>
      <c r="R19" s="116"/>
      <c r="S19" s="100">
        <v>23000</v>
      </c>
      <c r="U19" s="23">
        <v>46113</v>
      </c>
      <c r="V19" s="1" t="str">
        <v>Embolsado de Carbones</v>
      </c>
      <c r="W19" s="92">
        <v>34000</v>
      </c>
      <c r="X19" s="93" t="str">
        <v>GVarios</v>
      </c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6"/>
      <c r="N20" s="111">
        <v>66500</v>
      </c>
      <c r="P20" s="80">
        <v>46029</v>
      </c>
      <c r="Q20" s="78" t="s">
        <v>138</v>
      </c>
      <c r="R20" s="116"/>
      <c r="S20" s="100">
        <v>9000</v>
      </c>
      <c r="U20" s="23">
        <v>46113</v>
      </c>
      <c r="V20" s="1" t="str">
        <v>Gabi consumibles</v>
      </c>
      <c r="W20" s="92">
        <v>11200</v>
      </c>
      <c r="X20" s="93" t="str">
        <v>GVarios</v>
      </c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6"/>
      <c r="N21" s="111">
        <v>500000</v>
      </c>
      <c r="P21" s="80">
        <v>46030</v>
      </c>
      <c r="Q21" s="78" t="s">
        <v>126</v>
      </c>
      <c r="R21" s="116"/>
      <c r="S21" s="100">
        <v>32000</v>
      </c>
      <c r="U21" s="23">
        <v>46113</v>
      </c>
      <c r="V21" s="1" t="str">
        <v>GNC Corsa</v>
      </c>
      <c r="W21" s="92">
        <v>9000</v>
      </c>
      <c r="X21" s="93" t="str">
        <v>GVarios</v>
      </c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6"/>
      <c r="N22" s="111">
        <v>149500</v>
      </c>
      <c r="P22" s="80">
        <v>46028</v>
      </c>
      <c r="Q22" s="78" t="s">
        <v>113</v>
      </c>
      <c r="R22" s="116"/>
      <c r="S22" s="100">
        <v>8300</v>
      </c>
      <c r="U22" s="23">
        <v>46114</v>
      </c>
      <c r="V22" s="1" t="str">
        <v>Aseg. Motovehicular</v>
      </c>
      <c r="W22" s="92">
        <v>141512.71</v>
      </c>
      <c r="X22" s="93" t="str">
        <v>GFijos</v>
      </c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6"/>
      <c r="N23" s="111">
        <v>75000</v>
      </c>
      <c r="P23" s="80">
        <v>46031</v>
      </c>
      <c r="Q23" s="78" t="s">
        <v>132</v>
      </c>
      <c r="R23" s="116"/>
      <c r="S23" s="100">
        <v>14000</v>
      </c>
      <c r="U23" s="23">
        <v>46114</v>
      </c>
      <c r="V23" s="1" t="str">
        <v>Naza Obra</v>
      </c>
      <c r="W23" s="92">
        <v>300000</v>
      </c>
      <c r="X23" s="93" t="str">
        <v>GVarios</v>
      </c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6"/>
      <c r="N24" s="111">
        <v>80868</v>
      </c>
      <c r="P24" s="80">
        <v>46031</v>
      </c>
      <c r="Q24" s="78" t="s">
        <v>135</v>
      </c>
      <c r="R24" s="116"/>
      <c r="S24" s="100">
        <v>400000</v>
      </c>
      <c r="U24" s="23">
        <v>46114</v>
      </c>
      <c r="V24" s="1" t="str">
        <v>Naza Obra</v>
      </c>
      <c r="W24" s="92">
        <v>150000</v>
      </c>
      <c r="X24" s="93" t="str">
        <v>GVarios</v>
      </c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6"/>
      <c r="N25" s="111">
        <v>129265</v>
      </c>
      <c r="P25" s="80">
        <v>46034</v>
      </c>
      <c r="Q25" s="78" t="s">
        <v>113</v>
      </c>
      <c r="R25" s="116"/>
      <c r="S25" s="100">
        <v>500</v>
      </c>
      <c r="U25" s="23">
        <v>46115</v>
      </c>
      <c r="V25" s="1" t="str">
        <v>Endosado ALNAT</v>
      </c>
      <c r="W25" s="156">
        <v>400000</v>
      </c>
      <c r="X25" s="93" t="str">
        <v>Mercaderia</v>
      </c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6"/>
      <c r="N26" s="111">
        <v>425000</v>
      </c>
      <c r="P26" s="80">
        <v>46034</v>
      </c>
      <c r="Q26" s="78" t="s">
        <v>138</v>
      </c>
      <c r="R26" s="116"/>
      <c r="S26" s="100">
        <v>7998</v>
      </c>
      <c r="U26" s="23">
        <v>46115</v>
      </c>
      <c r="V26" s="1" t="str">
        <v>Naza Obra</v>
      </c>
      <c r="W26" s="92">
        <v>200000</v>
      </c>
      <c r="X26" s="93" t="str">
        <v>GVarios</v>
      </c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6"/>
      <c r="N27" s="111">
        <v>524636</v>
      </c>
      <c r="P27" s="80">
        <v>46035</v>
      </c>
      <c r="Q27" s="78" t="s">
        <v>112</v>
      </c>
      <c r="R27" s="116"/>
      <c r="S27" s="100">
        <v>83009</v>
      </c>
      <c r="U27" s="23">
        <v>46116</v>
      </c>
      <c r="V27" s="1" t="str">
        <v>Endosado ALU-MAQ</v>
      </c>
      <c r="W27" s="92">
        <v>302332</v>
      </c>
      <c r="X27" s="93" t="str">
        <v>Mercaderia</v>
      </c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6"/>
      <c r="N28" s="111">
        <v>126000</v>
      </c>
      <c r="P28" s="80">
        <v>46035</v>
      </c>
      <c r="Q28" s="78" t="s">
        <v>138</v>
      </c>
      <c r="R28" s="116"/>
      <c r="S28" s="100">
        <v>8000</v>
      </c>
      <c r="U28" s="23">
        <v>46117</v>
      </c>
      <c r="V28" s="1" t="str">
        <v>Endosado ALU-MAQ</v>
      </c>
      <c r="W28" s="157">
        <v>306041.12</v>
      </c>
      <c r="X28" s="93" t="str">
        <v>Mercaderia</v>
      </c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6"/>
      <c r="N29" s="81">
        <v>50000</v>
      </c>
      <c r="P29" s="80">
        <v>46035</v>
      </c>
      <c r="Q29" s="78" t="s">
        <v>138</v>
      </c>
      <c r="R29" s="116"/>
      <c r="S29" s="100">
        <v>8000</v>
      </c>
      <c r="U29" s="23">
        <v>46118</v>
      </c>
      <c r="V29" s="1" t="str">
        <v>Tarjeta Galicia + MASTER</v>
      </c>
      <c r="W29" s="92">
        <v>40000</v>
      </c>
      <c r="X29" s="93" t="str">
        <v>GFijos</v>
      </c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6"/>
      <c r="N30" s="111">
        <v>385000</v>
      </c>
      <c r="P30" s="80">
        <v>46036</v>
      </c>
      <c r="Q30" s="78" t="s">
        <v>148</v>
      </c>
      <c r="R30" s="116"/>
      <c r="S30" s="100">
        <v>175000</v>
      </c>
      <c r="U30" s="23">
        <v>46118</v>
      </c>
      <c r="V30" s="1" t="str">
        <v>GNC Corsa</v>
      </c>
      <c r="W30" s="92">
        <v>10856</v>
      </c>
      <c r="X30" s="93" t="str">
        <v>GVarios</v>
      </c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6"/>
      <c r="N31" s="111">
        <v>500000</v>
      </c>
      <c r="P31" s="80">
        <v>46037</v>
      </c>
      <c r="Q31" s="78" t="s">
        <v>135</v>
      </c>
      <c r="R31" s="116"/>
      <c r="S31" s="100">
        <v>100000</v>
      </c>
      <c r="U31" s="23">
        <v>46118</v>
      </c>
      <c r="V31" s="1" t="str">
        <v>Gabi consumibles</v>
      </c>
      <c r="W31" s="92">
        <v>5099</v>
      </c>
      <c r="X31" s="93" t="str">
        <v>GVarios</v>
      </c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6"/>
      <c r="N32" s="111">
        <v>600000</v>
      </c>
      <c r="P32" s="80">
        <v>46038</v>
      </c>
      <c r="Q32" s="78" t="s">
        <v>152</v>
      </c>
      <c r="R32" s="116"/>
      <c r="S32" s="100">
        <v>103214</v>
      </c>
      <c r="U32" s="23">
        <v>46119</v>
      </c>
      <c r="V32" s="1" t="str">
        <v>Alnat</v>
      </c>
      <c r="W32" s="92">
        <v>360569.22</v>
      </c>
      <c r="X32" s="93" t="str">
        <v>Mercaderia</v>
      </c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6"/>
      <c r="N33" s="111">
        <v>500000</v>
      </c>
      <c r="P33" s="80">
        <v>46037</v>
      </c>
      <c r="Q33" s="78" t="s">
        <v>153</v>
      </c>
      <c r="R33" s="116"/>
      <c r="S33" s="100">
        <v>30000</v>
      </c>
      <c r="U33" s="23">
        <v>46119</v>
      </c>
      <c r="V33" s="1" t="str">
        <v>Cincado</v>
      </c>
      <c r="W33" s="133">
        <v>66000</v>
      </c>
      <c r="X33" s="93" t="str">
        <v>Mercaderia</v>
      </c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6"/>
      <c r="N34" s="111">
        <v>396450</v>
      </c>
      <c r="P34" s="80">
        <v>46038</v>
      </c>
      <c r="Q34" s="78" t="s">
        <v>135</v>
      </c>
      <c r="R34" s="116"/>
      <c r="S34" s="100">
        <v>350000</v>
      </c>
      <c r="U34" s="23">
        <v>46119</v>
      </c>
      <c r="V34" s="1" t="str">
        <v>ALU-MAQ</v>
      </c>
      <c r="W34" s="92">
        <v>266253.34999999998</v>
      </c>
      <c r="X34" s="93" t="str">
        <v>Mercaderia</v>
      </c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6"/>
      <c r="N35" s="81">
        <v>150000</v>
      </c>
      <c r="P35" s="80">
        <v>46038</v>
      </c>
      <c r="Q35" s="78" t="s">
        <v>157</v>
      </c>
      <c r="R35" s="116"/>
      <c r="S35" s="100">
        <v>400000</v>
      </c>
      <c r="U35" s="23">
        <v>46120</v>
      </c>
      <c r="V35" s="1" t="str">
        <v>Tarjeta Santander Rio - VISA</v>
      </c>
      <c r="W35" s="92">
        <v>1358053.78</v>
      </c>
      <c r="X35" s="93" t="str">
        <v>GFijos</v>
      </c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6"/>
      <c r="N36" s="81">
        <v>172732</v>
      </c>
      <c r="P36" s="80">
        <v>46041</v>
      </c>
      <c r="Q36" s="78" t="s">
        <v>157</v>
      </c>
      <c r="R36" s="116"/>
      <c r="S36" s="100">
        <f>375000*2</f>
        <v>750000</v>
      </c>
      <c r="U36" s="23">
        <v>46120</v>
      </c>
      <c r="V36" s="1" t="str">
        <v>Endosado METALGRAB</v>
      </c>
      <c r="W36" s="133">
        <v>1680047.15</v>
      </c>
      <c r="X36" s="93" t="str">
        <v>Mercaderia</v>
      </c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6"/>
      <c r="N37" s="111">
        <v>148000</v>
      </c>
      <c r="P37" s="80">
        <v>46041</v>
      </c>
      <c r="Q37" s="78" t="s">
        <v>135</v>
      </c>
      <c r="R37" s="116"/>
      <c r="S37" s="100">
        <v>300000</v>
      </c>
      <c r="U37" s="23">
        <v>46120</v>
      </c>
      <c r="V37" s="1" t="str">
        <v>Neplastic</v>
      </c>
      <c r="W37" s="133">
        <v>425000</v>
      </c>
      <c r="X37" s="93" t="str">
        <v>Mercaderia</v>
      </c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6"/>
      <c r="N38" s="111">
        <v>112000</v>
      </c>
      <c r="P38" s="80">
        <v>46042</v>
      </c>
      <c r="Q38" s="78" t="s">
        <v>113</v>
      </c>
      <c r="R38" s="116"/>
      <c r="S38" s="100">
        <v>12500</v>
      </c>
      <c r="U38" s="23">
        <v>46120</v>
      </c>
      <c r="V38" s="1" t="str">
        <v>Walter Gavetas</v>
      </c>
      <c r="W38" s="92">
        <v>400000</v>
      </c>
      <c r="X38" s="93" t="str">
        <v>Mercaderia</v>
      </c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6"/>
      <c r="N39" s="111">
        <v>20000</v>
      </c>
      <c r="P39" s="80">
        <v>46042</v>
      </c>
      <c r="Q39" s="78" t="s">
        <v>138</v>
      </c>
      <c r="R39" s="116"/>
      <c r="S39" s="100">
        <v>10000</v>
      </c>
      <c r="U39" s="23">
        <v>46120</v>
      </c>
      <c r="V39" s="1" t="str">
        <v>Claudio Resortes</v>
      </c>
      <c r="W39" s="92">
        <v>550680</v>
      </c>
      <c r="X39" s="93" t="str">
        <v>Mercaderia</v>
      </c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6"/>
      <c r="N40" s="111">
        <v>323000</v>
      </c>
      <c r="P40" s="80">
        <v>46043</v>
      </c>
      <c r="Q40" s="78" t="s">
        <v>161</v>
      </c>
      <c r="R40" s="116"/>
      <c r="S40" s="100">
        <v>138000</v>
      </c>
      <c r="U40" s="23">
        <v>46120</v>
      </c>
      <c r="V40" s="1" t="str">
        <v>Juan Regatones</v>
      </c>
      <c r="W40" s="92">
        <v>131300</v>
      </c>
      <c r="X40" s="93" t="str">
        <v>Mercaderia</v>
      </c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6"/>
      <c r="N41" s="111">
        <v>393333.33</v>
      </c>
      <c r="P41" s="80">
        <v>46044</v>
      </c>
      <c r="Q41" s="78" t="s">
        <v>170</v>
      </c>
      <c r="R41" s="116"/>
      <c r="S41" s="100">
        <v>236734.96</v>
      </c>
      <c r="U41" s="23">
        <v>46120</v>
      </c>
      <c r="V41" s="1" t="str">
        <v>MetalGrab</v>
      </c>
      <c r="W41" s="92">
        <v>1680047.15</v>
      </c>
      <c r="X41" s="93" t="str">
        <v>Mercaderia</v>
      </c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6"/>
      <c r="N42" s="111">
        <v>468478.78</v>
      </c>
      <c r="P42" s="80">
        <v>46044</v>
      </c>
      <c r="Q42" s="78" t="s">
        <v>171</v>
      </c>
      <c r="R42" s="116"/>
      <c r="S42" s="100">
        <v>140425</v>
      </c>
      <c r="U42" s="23">
        <v>46120</v>
      </c>
      <c r="V42" s="1" t="str">
        <v>Naza Obra</v>
      </c>
      <c r="W42" s="133">
        <v>300000</v>
      </c>
      <c r="X42" s="93" t="str">
        <v>GVarios</v>
      </c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6"/>
      <c r="N43" s="111">
        <v>650000</v>
      </c>
      <c r="P43" s="80">
        <v>46045</v>
      </c>
      <c r="Q43" s="78" t="s">
        <v>112</v>
      </c>
      <c r="R43" s="116"/>
      <c r="S43" s="100">
        <v>78500</v>
      </c>
      <c r="U43" s="23">
        <v>46120</v>
      </c>
      <c r="V43" s="1" t="str">
        <v>Hotel Expo</v>
      </c>
      <c r="W43" s="92">
        <v>280000</v>
      </c>
      <c r="X43" s="93" t="str">
        <v>GVarios</v>
      </c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6"/>
      <c r="N44" s="111">
        <v>337761</v>
      </c>
      <c r="P44" s="80">
        <v>46045</v>
      </c>
      <c r="Q44" s="78" t="s">
        <v>173</v>
      </c>
      <c r="R44" s="116"/>
      <c r="S44" s="100">
        <f>500*1490</f>
        <v>745000</v>
      </c>
      <c r="U44" s="23">
        <v>46120</v>
      </c>
      <c r="V44" s="1" t="str">
        <v>Papelera</v>
      </c>
      <c r="W44" s="92">
        <v>110900</v>
      </c>
      <c r="X44" s="93" t="str">
        <v>GVarios</v>
      </c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6"/>
      <c r="N45" s="111">
        <v>337761</v>
      </c>
      <c r="P45" s="80">
        <v>46045</v>
      </c>
      <c r="Q45" s="78" t="s">
        <v>135</v>
      </c>
      <c r="R45" s="116"/>
      <c r="S45" s="100">
        <v>100000</v>
      </c>
      <c r="U45" s="23">
        <v>46120</v>
      </c>
      <c r="V45" s="1" t="str">
        <v>Mecanico Corsa</v>
      </c>
      <c r="W45" s="92">
        <v>650000</v>
      </c>
      <c r="X45" s="93" t="str">
        <v>GVarios</v>
      </c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6"/>
      <c r="N46" s="111">
        <v>543075.43999999994</v>
      </c>
      <c r="P46" s="80">
        <v>46047</v>
      </c>
      <c r="Q46" s="78" t="s">
        <v>152</v>
      </c>
      <c r="R46" s="116"/>
      <c r="S46" s="100">
        <v>104226</v>
      </c>
      <c r="U46" s="23">
        <v>46120</v>
      </c>
      <c r="V46" s="1" t="str">
        <v>GNC Corsa</v>
      </c>
      <c r="W46" s="92">
        <v>8000</v>
      </c>
      <c r="X46" s="93" t="str">
        <v>GVarios</v>
      </c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6"/>
      <c r="N47" s="111">
        <v>500000</v>
      </c>
      <c r="P47" s="80">
        <v>46048</v>
      </c>
      <c r="Q47" s="78" t="s">
        <v>175</v>
      </c>
      <c r="R47" s="116"/>
      <c r="S47" s="100">
        <v>115000</v>
      </c>
      <c r="U47" s="23">
        <v>46121</v>
      </c>
      <c r="V47" s="1" t="str">
        <v>ALU-MAQ</v>
      </c>
      <c r="W47" s="92">
        <v>440850</v>
      </c>
      <c r="X47" s="93" t="str">
        <v>Mercaderia</v>
      </c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6"/>
      <c r="N48" s="111">
        <v>653124.79</v>
      </c>
      <c r="P48" s="80">
        <v>46048</v>
      </c>
      <c r="Q48" s="78" t="s">
        <v>176</v>
      </c>
      <c r="R48" s="116"/>
      <c r="S48" s="100">
        <v>12500</v>
      </c>
      <c r="U48" s="23">
        <v>46122</v>
      </c>
      <c r="V48" s="1">
        <v>0</v>
      </c>
      <c r="W48" s="92">
        <v>1740000</v>
      </c>
      <c r="X48" s="93" t="str">
        <v>Sueldos</v>
      </c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6"/>
      <c r="N49" s="111">
        <v>654078.56999999995</v>
      </c>
      <c r="P49" s="80">
        <v>46049</v>
      </c>
      <c r="Q49" s="78" t="s">
        <v>176</v>
      </c>
      <c r="R49" s="116"/>
      <c r="S49" s="100">
        <v>8000</v>
      </c>
      <c r="U49" s="23">
        <v>46122</v>
      </c>
      <c r="V49" s="1" t="str">
        <v>Alquiler Distribuidora</v>
      </c>
      <c r="W49" s="92">
        <v>600000</v>
      </c>
      <c r="X49" s="93" t="str">
        <v>GFijos</v>
      </c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6"/>
      <c r="N50" s="111">
        <v>505515.25</v>
      </c>
      <c r="P50" s="80">
        <v>46050</v>
      </c>
      <c r="Q50" s="78" t="s">
        <v>112</v>
      </c>
      <c r="R50" s="116"/>
      <c r="S50" s="100">
        <v>80011</v>
      </c>
      <c r="U50" s="23">
        <v>46122</v>
      </c>
      <c r="V50" s="1" t="str">
        <v>Alquiler Casa</v>
      </c>
      <c r="W50" s="92">
        <v>350000</v>
      </c>
      <c r="X50" s="93" t="str">
        <v>GFijos</v>
      </c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6"/>
      <c r="N51" s="111">
        <v>308500</v>
      </c>
      <c r="P51" s="80">
        <v>46050</v>
      </c>
      <c r="Q51" s="78" t="s">
        <v>138</v>
      </c>
      <c r="R51" s="116"/>
      <c r="S51" s="100">
        <f>8000+4051</f>
        <v>12051</v>
      </c>
      <c r="U51" s="23">
        <v>46122</v>
      </c>
      <c r="V51" s="1" t="str">
        <v>Mel diseño grafico</v>
      </c>
      <c r="W51" s="92">
        <v>430000</v>
      </c>
      <c r="X51" s="93" t="str">
        <v>GFijos</v>
      </c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6"/>
      <c r="N52" s="112">
        <v>627847.5</v>
      </c>
      <c r="P52" s="80">
        <v>46050</v>
      </c>
      <c r="Q52" s="78" t="s">
        <v>176</v>
      </c>
      <c r="R52" s="116"/>
      <c r="S52" s="100">
        <v>11000</v>
      </c>
      <c r="U52" s="23">
        <v>46122</v>
      </c>
      <c r="V52" s="1" t="str">
        <v>Contador</v>
      </c>
      <c r="W52" s="92">
        <v>165000</v>
      </c>
      <c r="X52" s="93" t="str">
        <v>GFijos</v>
      </c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6"/>
      <c r="N53" s="111">
        <v>429741.18</v>
      </c>
      <c r="P53" s="80">
        <v>46051</v>
      </c>
      <c r="Q53" s="78" t="s">
        <v>176</v>
      </c>
      <c r="R53" s="116"/>
      <c r="S53" s="100">
        <v>11600</v>
      </c>
      <c r="U53" s="23">
        <v>46122</v>
      </c>
      <c r="V53" s="1" t="str">
        <v>Cargas Sociales</v>
      </c>
      <c r="W53" s="133">
        <v>831762</v>
      </c>
      <c r="X53" s="93" t="str">
        <v>GFijos</v>
      </c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6"/>
      <c r="N54" s="111">
        <v>100800</v>
      </c>
      <c r="P54" s="80">
        <v>46051</v>
      </c>
      <c r="Q54" s="78" t="s">
        <v>138</v>
      </c>
      <c r="R54" s="116"/>
      <c r="S54" s="100">
        <v>8120</v>
      </c>
      <c r="U54" s="23">
        <v>46122</v>
      </c>
      <c r="V54" s="1" t="str">
        <v>Endosado ALNAT</v>
      </c>
      <c r="W54" s="133">
        <v>400000</v>
      </c>
      <c r="X54" s="93" t="str">
        <v>Mercaderia</v>
      </c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6"/>
      <c r="N55" s="111">
        <v>20900</v>
      </c>
      <c r="P55" s="80">
        <v>46052</v>
      </c>
      <c r="Q55" s="78" t="s">
        <v>183</v>
      </c>
      <c r="R55" s="116"/>
      <c r="S55" s="100">
        <v>33500</v>
      </c>
      <c r="U55" s="23">
        <v>46122</v>
      </c>
      <c r="V55" s="1" t="str">
        <v>Walter Gavetas</v>
      </c>
      <c r="W55" s="144">
        <v>200000</v>
      </c>
      <c r="X55" s="93" t="str">
        <v>Mercaderia</v>
      </c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6"/>
      <c r="N56" s="111">
        <v>72000</v>
      </c>
      <c r="P56" s="80">
        <v>46053</v>
      </c>
      <c r="Q56" s="78" t="s">
        <v>186</v>
      </c>
      <c r="R56" s="116"/>
      <c r="S56" s="100">
        <v>117183</v>
      </c>
      <c r="U56" s="23">
        <v>46122</v>
      </c>
      <c r="V56" s="1" t="str">
        <v>Jorge Carbon</v>
      </c>
      <c r="W56" s="145">
        <v>211500</v>
      </c>
      <c r="X56" s="93" t="str">
        <v>Mercaderia</v>
      </c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6"/>
      <c r="N57" s="81">
        <v>142577.76</v>
      </c>
      <c r="P57" s="80">
        <v>46053</v>
      </c>
      <c r="Q57" s="78" t="s">
        <v>187</v>
      </c>
      <c r="R57" s="116"/>
      <c r="S57" s="100">
        <v>150000</v>
      </c>
      <c r="U57" s="23">
        <v>46122</v>
      </c>
      <c r="V57" s="1" t="str">
        <v>Rober</v>
      </c>
      <c r="W57" s="92">
        <v>273400</v>
      </c>
      <c r="X57" s="93" t="str">
        <v>Mercaderia</v>
      </c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6"/>
      <c r="N58" s="111">
        <v>159000</v>
      </c>
      <c r="P58" s="80">
        <v>46056</v>
      </c>
      <c r="Q58" s="78" t="s">
        <v>188</v>
      </c>
      <c r="R58" s="116"/>
      <c r="S58" s="100">
        <v>58225</v>
      </c>
      <c r="U58" s="23">
        <v>46122</v>
      </c>
      <c r="V58" s="1" t="str">
        <v>Carccione</v>
      </c>
      <c r="W58" s="92">
        <v>93000</v>
      </c>
      <c r="X58" s="93" t="str">
        <v>Mercaderia</v>
      </c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6"/>
      <c r="N59" s="111">
        <v>416396</v>
      </c>
      <c r="P59" s="80">
        <v>46056</v>
      </c>
      <c r="Q59" s="108" t="s">
        <v>192</v>
      </c>
      <c r="R59" s="116"/>
      <c r="S59" s="109">
        <v>50000</v>
      </c>
      <c r="U59" s="23">
        <v>46122</v>
      </c>
      <c r="V59" s="1" t="str">
        <v>GNC Corsa</v>
      </c>
      <c r="W59" s="92">
        <v>8400</v>
      </c>
      <c r="X59" s="93" t="str">
        <v>GVarios</v>
      </c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6"/>
      <c r="N60" s="111">
        <v>168000</v>
      </c>
      <c r="P60" s="80">
        <v>46056</v>
      </c>
      <c r="Q60" s="78" t="s">
        <v>138</v>
      </c>
      <c r="R60" s="116"/>
      <c r="S60" s="109">
        <v>9535</v>
      </c>
      <c r="U60" s="23">
        <v>46122</v>
      </c>
      <c r="V60" s="1" t="str">
        <v>Gabi consumibles</v>
      </c>
      <c r="W60" s="92">
        <v>14000</v>
      </c>
      <c r="X60" s="93" t="str">
        <v>GVarios</v>
      </c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6"/>
      <c r="N61" s="111">
        <v>45000</v>
      </c>
      <c r="P61" s="80">
        <v>46056</v>
      </c>
      <c r="Q61" s="78" t="s">
        <v>176</v>
      </c>
      <c r="R61" s="116"/>
      <c r="S61" s="109">
        <v>5500</v>
      </c>
      <c r="U61" s="23">
        <v>46122</v>
      </c>
      <c r="V61" s="1" t="str">
        <v>Naza Obra</v>
      </c>
      <c r="W61" s="92">
        <v>300000</v>
      </c>
      <c r="X61" s="93" t="str">
        <v>GVarios</v>
      </c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6"/>
      <c r="N62" s="111">
        <v>451500</v>
      </c>
      <c r="P62" s="80">
        <v>46057</v>
      </c>
      <c r="Q62" s="108" t="s">
        <v>193</v>
      </c>
      <c r="R62" s="116"/>
      <c r="S62" s="109">
        <v>100000</v>
      </c>
      <c r="U62" s="23">
        <v>46122</v>
      </c>
      <c r="V62" s="1" t="str">
        <v>Combustible Corsa</v>
      </c>
      <c r="W62" s="92">
        <v>40000</v>
      </c>
      <c r="X62" s="147" t="str">
        <v>GVarios</v>
      </c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6"/>
      <c r="N63" s="111">
        <v>226500</v>
      </c>
      <c r="P63" s="80">
        <v>46059</v>
      </c>
      <c r="Q63" s="108" t="s">
        <v>194</v>
      </c>
      <c r="R63" s="116"/>
      <c r="S63" s="109">
        <v>19000</v>
      </c>
      <c r="U63" s="23">
        <v>46123</v>
      </c>
      <c r="V63" s="1" t="str">
        <v>Naza Obra</v>
      </c>
      <c r="W63" s="133">
        <v>500000</v>
      </c>
      <c r="X63" s="93" t="str">
        <v>GVarios</v>
      </c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6"/>
      <c r="N64" s="111">
        <v>350000</v>
      </c>
      <c r="P64" s="80">
        <v>46055</v>
      </c>
      <c r="Q64" s="78" t="s">
        <v>192</v>
      </c>
      <c r="R64" s="116"/>
      <c r="S64" s="100">
        <v>76026.91</v>
      </c>
      <c r="U64" s="23">
        <v>46125</v>
      </c>
      <c r="V64" s="1" t="str">
        <v>Combustible Parnet</v>
      </c>
      <c r="W64" s="133">
        <v>160000</v>
      </c>
      <c r="X64" s="3" t="str">
        <v>GVarios</v>
      </c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6"/>
      <c r="N65" s="111">
        <v>72400</v>
      </c>
      <c r="P65" s="80">
        <v>46055</v>
      </c>
      <c r="Q65" s="78" t="s">
        <v>196</v>
      </c>
      <c r="R65" s="116"/>
      <c r="S65" s="100">
        <v>7000</v>
      </c>
      <c r="U65" s="23">
        <v>46126</v>
      </c>
      <c r="V65" s="1" t="str">
        <v>Prestamo Galicia - SGR</v>
      </c>
      <c r="W65" s="92">
        <v>1582000</v>
      </c>
      <c r="X65" s="3" t="str">
        <v>GFijos</v>
      </c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6"/>
      <c r="N66" s="81">
        <v>166000</v>
      </c>
      <c r="P66" s="80">
        <v>46055</v>
      </c>
      <c r="Q66" s="78" t="s">
        <v>197</v>
      </c>
      <c r="R66" s="116"/>
      <c r="S66" s="100">
        <v>55000</v>
      </c>
      <c r="U66" s="23">
        <v>46126</v>
      </c>
      <c r="V66" s="1" t="str">
        <v>Ruben Listones</v>
      </c>
      <c r="W66" s="92">
        <v>48000</v>
      </c>
      <c r="X66" s="3" t="str">
        <v>Mercaderia</v>
      </c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6"/>
      <c r="N67" s="111">
        <v>105550</v>
      </c>
      <c r="P67" s="80">
        <v>46055</v>
      </c>
      <c r="Q67" s="78" t="s">
        <v>198</v>
      </c>
      <c r="R67" s="116"/>
      <c r="S67" s="100">
        <v>15000</v>
      </c>
      <c r="U67" s="23">
        <v>46126</v>
      </c>
      <c r="V67" s="1" t="str">
        <v>Otia</v>
      </c>
      <c r="W67" s="92">
        <v>137347</v>
      </c>
      <c r="X67" s="3" t="str">
        <v>Mercaderia</v>
      </c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6"/>
      <c r="N68" s="111">
        <v>400000</v>
      </c>
      <c r="P68" s="80">
        <v>46055</v>
      </c>
      <c r="Q68" s="78" t="s">
        <v>192</v>
      </c>
      <c r="R68" s="116"/>
      <c r="S68" s="100">
        <v>95000</v>
      </c>
      <c r="U68" s="23">
        <v>46126</v>
      </c>
      <c r="V68" s="1" t="str">
        <v>Chavetas Kaz</v>
      </c>
      <c r="W68" s="92">
        <v>70727.070000000007</v>
      </c>
      <c r="X68" s="3" t="str">
        <v>Mercaderia</v>
      </c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6"/>
      <c r="N69" s="111">
        <v>213190.39</v>
      </c>
      <c r="P69" s="80">
        <v>46055</v>
      </c>
      <c r="Q69" s="78" t="s">
        <v>199</v>
      </c>
      <c r="R69" s="116"/>
      <c r="S69" s="100">
        <v>6700</v>
      </c>
      <c r="U69" s="23">
        <v>46126</v>
      </c>
      <c r="V69" s="1" t="str">
        <v>ALU-MAQ</v>
      </c>
      <c r="W69" s="92">
        <v>75811.340000000026</v>
      </c>
      <c r="X69" s="3" t="str">
        <v>Mercaderia</v>
      </c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6"/>
      <c r="N70" s="81">
        <v>221628</v>
      </c>
      <c r="P70" s="80">
        <v>46055</v>
      </c>
      <c r="Q70" s="78" t="s">
        <v>200</v>
      </c>
      <c r="R70" s="116"/>
      <c r="S70" s="100">
        <v>5000</v>
      </c>
      <c r="U70" s="23">
        <v>46126</v>
      </c>
      <c r="V70" s="1" t="str">
        <v>ArgenBroker</v>
      </c>
      <c r="W70" s="92">
        <v>300000</v>
      </c>
      <c r="X70" s="3" t="str">
        <v>Mercaderia</v>
      </c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6"/>
      <c r="N71" s="111">
        <v>600000</v>
      </c>
      <c r="P71" s="80">
        <v>46055</v>
      </c>
      <c r="Q71" s="78" t="s">
        <v>201</v>
      </c>
      <c r="R71" s="116"/>
      <c r="S71" s="100">
        <v>55000</v>
      </c>
      <c r="U71" s="23">
        <v>46126</v>
      </c>
      <c r="V71" s="1" t="str">
        <v>Toner - Cian y magenta</v>
      </c>
      <c r="W71" s="92">
        <v>210000</v>
      </c>
      <c r="X71" s="3" t="str">
        <v>GVarios</v>
      </c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6"/>
      <c r="N72" s="111">
        <v>200164</v>
      </c>
      <c r="P72" s="80">
        <v>46055</v>
      </c>
      <c r="Q72" s="78" t="s">
        <v>202</v>
      </c>
      <c r="R72" s="116"/>
      <c r="S72" s="100">
        <v>35000</v>
      </c>
      <c r="U72" s="23">
        <v>46126</v>
      </c>
      <c r="V72" s="1" t="str">
        <v>GNC Corsa</v>
      </c>
      <c r="W72" s="92">
        <v>7565</v>
      </c>
      <c r="X72" s="3" t="str">
        <v>GVarios</v>
      </c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6"/>
      <c r="N73" s="111">
        <v>360000</v>
      </c>
      <c r="P73" s="80">
        <v>46055</v>
      </c>
      <c r="Q73" s="78" t="s">
        <v>198</v>
      </c>
      <c r="R73" s="116"/>
      <c r="S73" s="100">
        <v>15000</v>
      </c>
      <c r="U73" s="23">
        <v>46126</v>
      </c>
      <c r="V73" s="1" t="str">
        <v>Gabi consumibles</v>
      </c>
      <c r="W73" s="133">
        <v>8000</v>
      </c>
      <c r="X73" s="3" t="str">
        <v>GVarios</v>
      </c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6"/>
      <c r="N74" s="81">
        <v>152000</v>
      </c>
      <c r="P74" s="80">
        <v>46055</v>
      </c>
      <c r="Q74" s="78" t="s">
        <v>200</v>
      </c>
      <c r="R74" s="116"/>
      <c r="S74" s="100">
        <v>7000</v>
      </c>
      <c r="U74" s="23">
        <v>46126</v>
      </c>
      <c r="V74" s="1" t="str">
        <v>GNC Corsa</v>
      </c>
      <c r="W74" s="133">
        <v>8500</v>
      </c>
      <c r="X74" s="3" t="str">
        <v>GVarios</v>
      </c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6"/>
      <c r="N75" s="81">
        <v>243552</v>
      </c>
      <c r="P75" s="80">
        <v>46055</v>
      </c>
      <c r="Q75" s="78" t="s">
        <v>203</v>
      </c>
      <c r="R75" s="116"/>
      <c r="S75" s="100">
        <v>20000</v>
      </c>
      <c r="U75" s="23">
        <v>46127</v>
      </c>
      <c r="V75" s="1" t="str">
        <v>Endosado ALNAT</v>
      </c>
      <c r="W75" s="92">
        <v>400000</v>
      </c>
      <c r="X75" s="3" t="str">
        <v>Mercaderia</v>
      </c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6"/>
      <c r="N76" s="81">
        <v>150000</v>
      </c>
      <c r="P76" s="80">
        <v>46055</v>
      </c>
      <c r="Q76" s="78" t="s">
        <v>204</v>
      </c>
      <c r="R76" s="116"/>
      <c r="S76" s="100">
        <v>44600</v>
      </c>
      <c r="U76" s="23">
        <v>46127</v>
      </c>
      <c r="V76" s="1" t="str">
        <v>Alcides</v>
      </c>
      <c r="W76" s="92">
        <v>1020504.32</v>
      </c>
      <c r="X76" s="3" t="str">
        <v>Mercaderia</v>
      </c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6"/>
      <c r="N77" s="111">
        <v>654078.56999999995</v>
      </c>
      <c r="P77" s="80">
        <v>46055</v>
      </c>
      <c r="Q77" s="78" t="s">
        <v>192</v>
      </c>
      <c r="R77" s="116"/>
      <c r="S77" s="100">
        <v>94000</v>
      </c>
      <c r="U77" s="23">
        <v>46127</v>
      </c>
      <c r="V77" s="1" t="str">
        <v>Cincado</v>
      </c>
      <c r="W77" s="92">
        <v>66000</v>
      </c>
      <c r="X77" s="3" t="str">
        <v>Mercaderia</v>
      </c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6"/>
      <c r="N78" s="111">
        <v>102000</v>
      </c>
      <c r="P78" s="80">
        <v>46055</v>
      </c>
      <c r="Q78" s="78" t="s">
        <v>205</v>
      </c>
      <c r="R78" s="116"/>
      <c r="S78" s="100">
        <v>8000</v>
      </c>
      <c r="U78" s="23">
        <v>46127</v>
      </c>
      <c r="V78" s="1" t="str">
        <v>Regatones OyR</v>
      </c>
      <c r="W78" s="92">
        <v>128300</v>
      </c>
      <c r="X78" s="3" t="str">
        <v>Mercaderia</v>
      </c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6"/>
      <c r="N79" s="111">
        <v>308500</v>
      </c>
      <c r="P79" s="80">
        <v>46058</v>
      </c>
      <c r="Q79" s="78" t="s">
        <v>201</v>
      </c>
      <c r="R79" s="116"/>
      <c r="S79" s="100">
        <v>50000</v>
      </c>
      <c r="U79" s="23">
        <v>46127</v>
      </c>
      <c r="V79" s="1" t="str">
        <v>Argon</v>
      </c>
      <c r="W79" s="92">
        <v>33500</v>
      </c>
      <c r="X79" s="3" t="str">
        <v>Mercaderia</v>
      </c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6"/>
      <c r="N80" s="111">
        <v>280000</v>
      </c>
      <c r="P80" s="80">
        <v>46059</v>
      </c>
      <c r="Q80" s="78" t="s">
        <v>206</v>
      </c>
      <c r="R80" s="116"/>
      <c r="S80" s="100">
        <v>30000</v>
      </c>
      <c r="U80" s="23">
        <v>46127</v>
      </c>
      <c r="V80" s="1" t="str">
        <v>Gabi consumibles</v>
      </c>
      <c r="W80" s="92">
        <v>12000</v>
      </c>
      <c r="X80" s="3" t="str">
        <v>GVarios</v>
      </c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6"/>
      <c r="N81" s="111">
        <v>60000</v>
      </c>
      <c r="P81" s="80">
        <v>46059</v>
      </c>
      <c r="Q81" s="78" t="s">
        <v>207</v>
      </c>
      <c r="R81" s="116"/>
      <c r="S81" s="100">
        <v>140000</v>
      </c>
      <c r="U81" s="23">
        <v>46127</v>
      </c>
      <c r="V81" s="1" t="str">
        <v>GNC Corsa</v>
      </c>
      <c r="W81" s="92">
        <v>8000</v>
      </c>
      <c r="X81" s="3" t="str">
        <v>GVarios</v>
      </c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6"/>
      <c r="N82" s="111">
        <v>105314</v>
      </c>
      <c r="P82" s="80">
        <v>46059</v>
      </c>
      <c r="Q82" s="78" t="s">
        <v>208</v>
      </c>
      <c r="R82" s="116"/>
      <c r="S82" s="100">
        <v>26000</v>
      </c>
      <c r="U82" s="23">
        <v>46128</v>
      </c>
      <c r="V82" s="1" t="str">
        <v>Cuota Facilidades IVA</v>
      </c>
      <c r="W82" s="92">
        <v>446304</v>
      </c>
      <c r="X82" s="3" t="str">
        <v>GFijos</v>
      </c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6"/>
      <c r="N83" s="111">
        <v>150000</v>
      </c>
      <c r="P83" s="80">
        <v>46059</v>
      </c>
      <c r="Q83" s="78" t="s">
        <v>199</v>
      </c>
      <c r="R83" s="116"/>
      <c r="S83" s="100">
        <v>35000</v>
      </c>
      <c r="U83" s="23">
        <v>46128</v>
      </c>
      <c r="V83" s="1" t="str">
        <v>Cuota Facilidades IVA</v>
      </c>
      <c r="W83" s="92">
        <v>410336</v>
      </c>
      <c r="X83" s="3" t="str">
        <v>GFijos</v>
      </c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6"/>
      <c r="N84" s="111">
        <v>898225</v>
      </c>
      <c r="P84" s="80">
        <v>46059</v>
      </c>
      <c r="Q84" s="78" t="s">
        <v>192</v>
      </c>
      <c r="R84" s="116"/>
      <c r="S84" s="100">
        <v>100000</v>
      </c>
      <c r="U84" s="23">
        <v>46128</v>
      </c>
      <c r="V84" s="1" t="str">
        <v>Personal Flow</v>
      </c>
      <c r="W84" s="133">
        <v>89083</v>
      </c>
      <c r="X84" s="3" t="str">
        <v>GFijos</v>
      </c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6"/>
      <c r="N85" s="111">
        <v>168780</v>
      </c>
      <c r="P85" s="80">
        <v>46062</v>
      </c>
      <c r="Q85" s="78" t="s">
        <v>176</v>
      </c>
      <c r="R85" s="116"/>
      <c r="S85" s="100">
        <v>11800</v>
      </c>
      <c r="U85" s="23">
        <v>46128</v>
      </c>
      <c r="V85" s="1" t="str">
        <v>Rober</v>
      </c>
      <c r="W85" s="133">
        <v>91500</v>
      </c>
      <c r="X85" s="3" t="str">
        <v>Mercaderia</v>
      </c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6"/>
      <c r="N86" s="81">
        <v>32000</v>
      </c>
      <c r="P86" s="80">
        <v>46062</v>
      </c>
      <c r="Q86" s="78" t="s">
        <v>186</v>
      </c>
      <c r="R86" s="116"/>
      <c r="S86" s="100">
        <v>200000</v>
      </c>
      <c r="U86" s="23">
        <v>46128</v>
      </c>
      <c r="V86" s="1" t="str">
        <v>Dahe Piazze</v>
      </c>
      <c r="W86" s="92">
        <v>277816.12</v>
      </c>
      <c r="X86" s="3" t="str">
        <v>Mercaderia</v>
      </c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6"/>
      <c r="N87" s="111">
        <v>548560.76</v>
      </c>
      <c r="P87" s="80">
        <v>46063</v>
      </c>
      <c r="Q87" s="78" t="s">
        <v>212</v>
      </c>
      <c r="R87" s="116"/>
      <c r="S87" s="100">
        <v>95000</v>
      </c>
      <c r="U87" s="23">
        <v>46128</v>
      </c>
      <c r="V87" s="1" t="str">
        <v>Kloster</v>
      </c>
      <c r="W87" s="133">
        <v>298000</v>
      </c>
      <c r="X87" s="3" t="str">
        <v>Mercaderia</v>
      </c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6"/>
      <c r="N88" s="113">
        <v>450000</v>
      </c>
      <c r="P88" s="80">
        <v>46063</v>
      </c>
      <c r="Q88" s="78" t="s">
        <v>152</v>
      </c>
      <c r="R88" s="116"/>
      <c r="S88" s="100">
        <v>80000</v>
      </c>
      <c r="U88" s="23">
        <v>46128</v>
      </c>
      <c r="V88" s="1" t="str">
        <v>Rober</v>
      </c>
      <c r="W88" s="92">
        <v>47500</v>
      </c>
      <c r="X88" s="3" t="str">
        <v>Mercaderia</v>
      </c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6"/>
      <c r="N89" s="111">
        <v>330000</v>
      </c>
      <c r="P89" s="80">
        <v>46063</v>
      </c>
      <c r="Q89" s="78" t="s">
        <v>176</v>
      </c>
      <c r="R89" s="116"/>
      <c r="S89" s="100">
        <v>11000</v>
      </c>
      <c r="U89" s="23">
        <v>46128</v>
      </c>
      <c r="V89" s="1" t="str">
        <v>Selladores Regitak</v>
      </c>
      <c r="W89" s="92">
        <v>80440.800000000003</v>
      </c>
      <c r="X89" s="3" t="str">
        <v>Mercaderia</v>
      </c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6"/>
      <c r="N90" s="111">
        <v>60007.75</v>
      </c>
      <c r="P90" s="80">
        <v>46063</v>
      </c>
      <c r="Q90" s="78" t="s">
        <v>213</v>
      </c>
      <c r="R90" s="116"/>
      <c r="S90" s="100">
        <v>350000</v>
      </c>
      <c r="U90" s="23">
        <v>46128</v>
      </c>
      <c r="V90" s="1" t="str">
        <v>Jorge Carbon</v>
      </c>
      <c r="W90" s="92">
        <v>220000</v>
      </c>
      <c r="X90" s="3" t="str">
        <v>Mercaderia</v>
      </c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6"/>
      <c r="N91" s="111">
        <v>93000</v>
      </c>
      <c r="P91" s="80">
        <v>46064</v>
      </c>
      <c r="Q91" s="78" t="s">
        <v>215</v>
      </c>
      <c r="R91" s="116"/>
      <c r="S91" s="100">
        <v>3298000</v>
      </c>
      <c r="U91" s="23">
        <v>46128</v>
      </c>
      <c r="V91" s="146" t="str">
        <v>Pedro Insertos</v>
      </c>
      <c r="W91" s="92">
        <v>480000</v>
      </c>
      <c r="X91" s="3" t="str">
        <v>Mercaderia</v>
      </c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6"/>
      <c r="N92" s="81">
        <v>630000</v>
      </c>
      <c r="P92" s="80">
        <v>46064</v>
      </c>
      <c r="Q92" s="78" t="s">
        <v>171</v>
      </c>
      <c r="R92" s="116"/>
      <c r="S92" s="100">
        <v>146000</v>
      </c>
      <c r="U92" s="23">
        <v>46128</v>
      </c>
      <c r="V92" s="1" t="str">
        <v>Naza Obra</v>
      </c>
      <c r="W92" s="92">
        <v>250000</v>
      </c>
      <c r="X92" s="3" t="str">
        <v>GVarios</v>
      </c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6"/>
      <c r="N93" s="111">
        <v>550000</v>
      </c>
      <c r="P93" s="80">
        <v>46064</v>
      </c>
      <c r="Q93" s="78" t="s">
        <v>216</v>
      </c>
      <c r="R93" s="116"/>
      <c r="S93" s="100">
        <v>57000</v>
      </c>
      <c r="U93" s="23">
        <v>46128</v>
      </c>
      <c r="V93" s="1" t="str">
        <v>GNC Corsa</v>
      </c>
      <c r="W93" s="92">
        <v>10000</v>
      </c>
      <c r="X93" s="3" t="str">
        <v>GVarios</v>
      </c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6"/>
      <c r="N94" s="81">
        <v>475800</v>
      </c>
      <c r="P94" s="80">
        <v>46064</v>
      </c>
      <c r="Q94" s="78" t="s">
        <v>208</v>
      </c>
      <c r="R94" s="116"/>
      <c r="S94" s="100">
        <v>16000</v>
      </c>
      <c r="U94" s="23">
        <v>46128</v>
      </c>
      <c r="V94" s="1" t="str">
        <v>GNC Corsa</v>
      </c>
      <c r="W94" s="92">
        <v>7800</v>
      </c>
      <c r="X94" s="3" t="str">
        <v>GVarios</v>
      </c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6"/>
      <c r="N95" s="111">
        <v>535872</v>
      </c>
      <c r="P95" s="80">
        <v>46065</v>
      </c>
      <c r="Q95" s="78" t="s">
        <v>126</v>
      </c>
      <c r="R95" s="116"/>
      <c r="S95" s="100">
        <v>36000</v>
      </c>
      <c r="U95" s="23">
        <v>46128</v>
      </c>
      <c r="V95" s="1" t="str">
        <v>Gabi consumibles</v>
      </c>
      <c r="W95" s="92">
        <v>13000</v>
      </c>
      <c r="X95" s="3" t="str">
        <v>GVarios</v>
      </c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6"/>
      <c r="N96" s="81">
        <v>118000</v>
      </c>
      <c r="P96" s="80">
        <v>46065</v>
      </c>
      <c r="Q96" s="78" t="s">
        <v>186</v>
      </c>
      <c r="R96" s="116"/>
      <c r="S96" s="100">
        <v>51092.001380637288</v>
      </c>
      <c r="U96" s="23">
        <v>46129</v>
      </c>
      <c r="V96" s="1" t="str">
        <v>Sueldos</v>
      </c>
      <c r="W96" s="92">
        <v>3468465</v>
      </c>
      <c r="X96" s="3" t="str">
        <v>Sueldos</v>
      </c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6"/>
      <c r="N97" s="111">
        <v>1203338.56</v>
      </c>
      <c r="P97" s="80">
        <v>46065</v>
      </c>
      <c r="Q97" s="78" t="s">
        <v>221</v>
      </c>
      <c r="R97" s="116"/>
      <c r="S97" s="100">
        <v>100000</v>
      </c>
      <c r="U97" s="23">
        <v>46129</v>
      </c>
      <c r="V97" s="1" t="str">
        <v>MetalGrab</v>
      </c>
      <c r="W97" s="92">
        <v>264394.68</v>
      </c>
      <c r="X97" s="3" t="str">
        <v>Mercaderia</v>
      </c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6"/>
      <c r="N98" s="81">
        <v>55000</v>
      </c>
      <c r="P98" s="80">
        <v>46065</v>
      </c>
      <c r="Q98" s="78" t="s">
        <v>176</v>
      </c>
      <c r="R98" s="116"/>
      <c r="S98" s="100">
        <v>10000</v>
      </c>
      <c r="U98" s="23">
        <v>46129</v>
      </c>
      <c r="V98" s="1" t="str">
        <v>Neplastic</v>
      </c>
      <c r="W98" s="133">
        <v>441045</v>
      </c>
      <c r="X98" s="3" t="str">
        <v>Mercaderia</v>
      </c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6"/>
      <c r="N99" s="81">
        <v>30000</v>
      </c>
      <c r="P99" s="80">
        <v>46065</v>
      </c>
      <c r="Q99" s="78" t="s">
        <v>138</v>
      </c>
      <c r="R99" s="116"/>
      <c r="S99" s="100">
        <v>5623</v>
      </c>
      <c r="U99" s="23">
        <v>46129</v>
      </c>
      <c r="V99" s="1" t="str">
        <v>Endosado ALNAT</v>
      </c>
      <c r="W99" s="133">
        <v>612801.4</v>
      </c>
      <c r="X99" s="3" t="str">
        <v>Mercaderia</v>
      </c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6"/>
      <c r="N100" s="81">
        <v>44000</v>
      </c>
      <c r="P100" s="80">
        <v>46066</v>
      </c>
      <c r="Q100" s="78" t="s">
        <v>223</v>
      </c>
      <c r="R100" s="116"/>
      <c r="S100" s="100">
        <v>2450000</v>
      </c>
      <c r="U100" s="23">
        <v>46129</v>
      </c>
      <c r="V100" s="1" t="str">
        <v>Walter Gavetas</v>
      </c>
      <c r="W100" s="92">
        <v>200000</v>
      </c>
      <c r="X100" s="3" t="str">
        <v>Mercaderia</v>
      </c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6"/>
      <c r="N101" s="111">
        <v>80000</v>
      </c>
      <c r="P101" s="80">
        <v>46066</v>
      </c>
      <c r="Q101" s="78" t="s">
        <v>138</v>
      </c>
      <c r="R101" s="116"/>
      <c r="S101" s="100">
        <v>10000</v>
      </c>
      <c r="U101" s="23">
        <v>46129</v>
      </c>
      <c r="V101" s="1" t="str">
        <v>Getres</v>
      </c>
      <c r="W101" s="92">
        <v>59000</v>
      </c>
      <c r="X101" s="3" t="str">
        <v>GVarios</v>
      </c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6"/>
      <c r="N102" s="81">
        <v>354300</v>
      </c>
      <c r="P102" s="80">
        <v>46066</v>
      </c>
      <c r="Q102" s="78" t="s">
        <v>112</v>
      </c>
      <c r="R102" s="116"/>
      <c r="S102" s="100">
        <v>89734</v>
      </c>
      <c r="U102" s="23">
        <v>46129</v>
      </c>
      <c r="V102" s="1" t="str">
        <v>Naza Obra</v>
      </c>
      <c r="W102" s="92">
        <v>300000</v>
      </c>
      <c r="X102" s="3" t="str">
        <v>GVarios</v>
      </c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6"/>
      <c r="N103" s="111">
        <v>233445.88</v>
      </c>
      <c r="P103" s="80">
        <v>46066</v>
      </c>
      <c r="Q103" s="78" t="s">
        <v>157</v>
      </c>
      <c r="R103" s="116"/>
      <c r="S103" s="100">
        <v>725000</v>
      </c>
      <c r="U103" s="23">
        <v>46129</v>
      </c>
      <c r="V103" s="1" t="str">
        <v>Naza Obra</v>
      </c>
      <c r="W103" s="92">
        <v>500000</v>
      </c>
      <c r="X103" s="3" t="str">
        <v>GVarios</v>
      </c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6"/>
      <c r="N104" s="111">
        <v>132000</v>
      </c>
      <c r="P104" s="80">
        <v>46072</v>
      </c>
      <c r="Q104" s="78" t="s">
        <v>138</v>
      </c>
      <c r="R104" s="116"/>
      <c r="S104" s="100">
        <v>8000</v>
      </c>
      <c r="U104" s="23">
        <v>46129</v>
      </c>
      <c r="V104" s="1" t="str">
        <v>Naza Obra</v>
      </c>
      <c r="W104" s="92">
        <v>300000</v>
      </c>
      <c r="X104" s="3" t="str">
        <v>GVarios</v>
      </c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6"/>
      <c r="N105" s="81">
        <v>27500</v>
      </c>
      <c r="P105" s="80">
        <v>46072</v>
      </c>
      <c r="Q105" s="78" t="s">
        <v>176</v>
      </c>
      <c r="R105" s="116"/>
      <c r="S105" s="100">
        <v>8500</v>
      </c>
      <c r="U105" s="23">
        <v>46129</v>
      </c>
      <c r="V105" s="1" t="str">
        <v>Gabi consumibles</v>
      </c>
      <c r="W105" s="92">
        <v>8500</v>
      </c>
      <c r="X105" s="3" t="str">
        <v>GVarios</v>
      </c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6"/>
      <c r="N106" s="111">
        <v>126000</v>
      </c>
      <c r="P106" s="80">
        <v>46072</v>
      </c>
      <c r="Q106" s="78" t="s">
        <v>228</v>
      </c>
      <c r="R106" s="116"/>
      <c r="S106" s="100">
        <v>95000</v>
      </c>
      <c r="U106" s="23">
        <v>46130</v>
      </c>
      <c r="V106" s="1" t="str">
        <v>Walter Gavetas</v>
      </c>
      <c r="W106" s="92">
        <v>161059</v>
      </c>
      <c r="X106" s="3" t="str">
        <v>Mercaderia</v>
      </c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6"/>
      <c r="N107" s="111">
        <v>38000</v>
      </c>
      <c r="P107" s="80">
        <v>46072</v>
      </c>
      <c r="Q107" s="78" t="s">
        <v>229</v>
      </c>
      <c r="R107" s="116"/>
      <c r="S107" s="100">
        <v>75000</v>
      </c>
      <c r="U107" s="23">
        <v>46130</v>
      </c>
      <c r="V107" s="1" t="str">
        <v>Walter Gavetas</v>
      </c>
      <c r="W107" s="92">
        <v>80000</v>
      </c>
      <c r="X107" s="3" t="str">
        <v>Mercaderia</v>
      </c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6"/>
      <c r="N108" s="111">
        <v>108000</v>
      </c>
      <c r="P108" s="80">
        <v>46072</v>
      </c>
      <c r="Q108" s="78" t="s">
        <v>230</v>
      </c>
      <c r="R108" s="116"/>
      <c r="S108" s="100">
        <v>24000</v>
      </c>
      <c r="U108" s="23">
        <v>46132</v>
      </c>
      <c r="V108" s="1" t="str">
        <v>Endosado ALNAT</v>
      </c>
      <c r="W108" s="133">
        <v>845478.61</v>
      </c>
      <c r="X108" s="3" t="str">
        <v>Mercaderia</v>
      </c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6"/>
      <c r="N109" s="111">
        <v>600000</v>
      </c>
      <c r="P109" s="80">
        <v>46072</v>
      </c>
      <c r="Q109" s="78" t="s">
        <v>176</v>
      </c>
      <c r="R109" s="116"/>
      <c r="S109" s="100">
        <v>7000</v>
      </c>
      <c r="U109" s="23">
        <v>46136</v>
      </c>
      <c r="V109" s="1" t="str">
        <v>Endosado Metalgrab</v>
      </c>
      <c r="W109" s="92">
        <v>389726.18</v>
      </c>
      <c r="X109" s="3" t="str">
        <v>Mercaderia</v>
      </c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6"/>
      <c r="N110" s="111">
        <v>800000</v>
      </c>
      <c r="P110" s="80">
        <v>46073</v>
      </c>
      <c r="Q110" s="78" t="s">
        <v>221</v>
      </c>
      <c r="R110" s="116"/>
      <c r="S110" s="100">
        <v>105000</v>
      </c>
      <c r="U110" s="23">
        <v>46140</v>
      </c>
      <c r="V110" s="1" t="str">
        <v>Endosado Metalgrab</v>
      </c>
      <c r="W110" s="92">
        <v>200000</v>
      </c>
      <c r="X110" s="3" t="str">
        <v>Mercaderia</v>
      </c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6"/>
      <c r="N111" s="111">
        <v>83000</v>
      </c>
      <c r="P111" s="80">
        <v>46073</v>
      </c>
      <c r="Q111" s="78" t="s">
        <v>232</v>
      </c>
      <c r="R111" s="116"/>
      <c r="S111" s="100">
        <v>500000</v>
      </c>
      <c r="U111" s="23"/>
      <c r="W111" s="92"/>
      <c r="X111" s="3"/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6"/>
      <c r="N112" s="111">
        <v>200000</v>
      </c>
      <c r="P112" s="80">
        <v>46067</v>
      </c>
      <c r="Q112" s="78" t="s">
        <v>233</v>
      </c>
      <c r="R112" s="116"/>
      <c r="S112" s="100">
        <v>650000</v>
      </c>
      <c r="U112" s="23"/>
      <c r="W112" s="92"/>
      <c r="X112" s="3"/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6"/>
      <c r="N113" s="111">
        <v>86286.489999999758</v>
      </c>
      <c r="P113" s="80">
        <v>46076</v>
      </c>
      <c r="Q113" s="108" t="s">
        <v>95</v>
      </c>
      <c r="R113" s="116"/>
      <c r="S113" s="109">
        <v>13000</v>
      </c>
      <c r="U113" s="23"/>
      <c r="W113" s="92"/>
      <c r="X113" s="3"/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6"/>
      <c r="N114" s="111">
        <v>1210921</v>
      </c>
      <c r="P114" s="80">
        <v>46076</v>
      </c>
      <c r="Q114" s="78" t="s">
        <v>138</v>
      </c>
      <c r="R114" s="116"/>
      <c r="S114" s="109">
        <v>6706</v>
      </c>
      <c r="U114" s="23"/>
      <c r="W114" s="133"/>
      <c r="X114" s="3"/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6"/>
      <c r="N115" s="111">
        <v>203424</v>
      </c>
      <c r="P115" s="80">
        <v>46077</v>
      </c>
      <c r="Q115" s="108" t="s">
        <v>235</v>
      </c>
      <c r="R115" s="116"/>
      <c r="S115" s="109">
        <v>33300</v>
      </c>
      <c r="U115" s="23"/>
      <c r="W115" s="92"/>
      <c r="X115" s="3"/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6"/>
      <c r="N116" s="111">
        <v>1210921</v>
      </c>
      <c r="P116" s="80">
        <v>46077</v>
      </c>
      <c r="Q116" s="108" t="s">
        <v>234</v>
      </c>
      <c r="R116" s="116"/>
      <c r="S116" s="109">
        <v>35000</v>
      </c>
      <c r="U116" s="23"/>
      <c r="W116" s="92"/>
      <c r="X116" s="3"/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6"/>
      <c r="N117" s="100">
        <f>299500+121000</f>
        <v>420500</v>
      </c>
      <c r="P117" s="80">
        <v>46077</v>
      </c>
      <c r="Q117" s="78" t="s">
        <v>112</v>
      </c>
      <c r="R117" s="116"/>
      <c r="S117" s="109">
        <v>86000</v>
      </c>
      <c r="U117" s="23"/>
      <c r="W117" s="92"/>
      <c r="X117" s="3"/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6"/>
      <c r="N118" s="81">
        <v>112512</v>
      </c>
      <c r="P118" s="80">
        <v>46077</v>
      </c>
      <c r="Q118" s="78" t="s">
        <v>138</v>
      </c>
      <c r="R118" s="116"/>
      <c r="S118" s="109">
        <v>6000</v>
      </c>
      <c r="U118" s="23"/>
      <c r="W118" s="92"/>
      <c r="X118" s="3"/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6"/>
      <c r="N119" s="111">
        <v>413000</v>
      </c>
      <c r="P119" s="80">
        <v>46077</v>
      </c>
      <c r="Q119" s="78" t="s">
        <v>176</v>
      </c>
      <c r="R119" s="116"/>
      <c r="S119" s="109">
        <v>7900</v>
      </c>
      <c r="U119" s="23"/>
      <c r="W119" s="92"/>
      <c r="X119" s="3"/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6"/>
      <c r="N120" s="111">
        <v>51507</v>
      </c>
      <c r="P120" s="80">
        <v>46077</v>
      </c>
      <c r="Q120" s="108" t="s">
        <v>236</v>
      </c>
      <c r="R120" s="116"/>
      <c r="S120" s="109">
        <v>24000</v>
      </c>
      <c r="U120" s="23"/>
      <c r="W120" s="133"/>
      <c r="X120" s="3"/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6"/>
      <c r="N121" s="111">
        <v>300000</v>
      </c>
      <c r="P121" s="80">
        <v>46078</v>
      </c>
      <c r="Q121" s="108" t="s">
        <v>237</v>
      </c>
      <c r="R121" s="116"/>
      <c r="S121" s="109">
        <v>30000</v>
      </c>
      <c r="U121" s="23"/>
      <c r="W121" s="92"/>
      <c r="X121" s="3"/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6"/>
      <c r="N122" s="111">
        <v>200000</v>
      </c>
      <c r="P122" s="80">
        <v>46078</v>
      </c>
      <c r="Q122" s="78" t="s">
        <v>176</v>
      </c>
      <c r="R122" s="116"/>
      <c r="S122" s="109">
        <v>13000</v>
      </c>
      <c r="U122" s="23"/>
      <c r="W122" s="92"/>
      <c r="X122" s="3"/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6"/>
      <c r="N123" s="111">
        <v>152500</v>
      </c>
      <c r="P123" s="80">
        <v>46079</v>
      </c>
      <c r="Q123" s="108" t="s">
        <v>239</v>
      </c>
      <c r="R123" s="116"/>
      <c r="S123" s="109">
        <v>100000</v>
      </c>
      <c r="U123" s="23"/>
      <c r="W123" s="92"/>
      <c r="X123" s="3"/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6"/>
      <c r="N124" s="81">
        <v>502100</v>
      </c>
      <c r="P124" s="80">
        <v>46080</v>
      </c>
      <c r="Q124" s="108" t="s">
        <v>242</v>
      </c>
      <c r="R124" s="116"/>
      <c r="S124" s="109">
        <v>500000</v>
      </c>
      <c r="U124" s="23"/>
      <c r="W124" s="92"/>
      <c r="X124" s="3"/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6"/>
      <c r="N125" s="81">
        <v>340000</v>
      </c>
      <c r="P125" s="80">
        <v>46080</v>
      </c>
      <c r="Q125" s="108" t="s">
        <v>243</v>
      </c>
      <c r="R125" s="116"/>
      <c r="S125" s="115">
        <v>99000</v>
      </c>
      <c r="U125" s="23"/>
      <c r="W125" s="92"/>
      <c r="X125" s="3"/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6"/>
      <c r="N126" s="110">
        <v>22000</v>
      </c>
      <c r="P126" s="80">
        <v>46080</v>
      </c>
      <c r="Q126" s="108" t="s">
        <v>244</v>
      </c>
      <c r="R126" s="116"/>
      <c r="S126" s="109">
        <v>2717843</v>
      </c>
      <c r="U126" s="23"/>
      <c r="W126" s="92"/>
      <c r="X126" s="3"/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6"/>
      <c r="N127" s="111">
        <v>180000</v>
      </c>
      <c r="P127" s="80">
        <v>46080</v>
      </c>
      <c r="Q127" s="108" t="s">
        <v>245</v>
      </c>
      <c r="R127" s="116"/>
      <c r="S127" s="109">
        <v>510687</v>
      </c>
      <c r="U127" s="23"/>
      <c r="W127" s="92"/>
      <c r="X127" s="3"/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6"/>
      <c r="N128" s="113">
        <v>130000</v>
      </c>
      <c r="P128" s="80">
        <v>46083</v>
      </c>
      <c r="Q128" s="108" t="s">
        <v>247</v>
      </c>
      <c r="R128" s="117" t="s">
        <v>48</v>
      </c>
      <c r="S128" s="109">
        <v>50000</v>
      </c>
      <c r="U128" s="23"/>
      <c r="W128" s="92"/>
      <c r="X128" s="3"/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6"/>
      <c r="N129" s="111">
        <v>166000</v>
      </c>
      <c r="P129" s="80">
        <v>46083</v>
      </c>
      <c r="Q129" s="78" t="s">
        <v>138</v>
      </c>
      <c r="R129" s="117"/>
      <c r="S129" s="109">
        <v>8000</v>
      </c>
      <c r="U129" s="23"/>
      <c r="W129" s="92"/>
      <c r="X129" s="3"/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6"/>
      <c r="N130" s="81">
        <v>3200000</v>
      </c>
      <c r="P130" s="80">
        <v>46084</v>
      </c>
      <c r="Q130" s="78" t="s">
        <v>176</v>
      </c>
      <c r="R130" s="117"/>
      <c r="S130" s="109">
        <v>13000</v>
      </c>
      <c r="U130" s="23"/>
      <c r="W130" s="92"/>
      <c r="X130" s="3"/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6"/>
      <c r="N131" s="81">
        <v>397500</v>
      </c>
      <c r="P131" s="80">
        <v>46084</v>
      </c>
      <c r="Q131" s="78" t="s">
        <v>138</v>
      </c>
      <c r="R131" s="117"/>
      <c r="S131" s="109">
        <v>4854</v>
      </c>
      <c r="U131" s="23"/>
      <c r="W131" s="92"/>
      <c r="X131" s="3"/>
      <c r="Y131" s="82"/>
    </row>
    <row r="132" spans="5:25" ht="15" x14ac:dyDescent="0.25">
      <c r="E132" s="79">
        <v>46113</v>
      </c>
      <c r="F132" s="78" t="s">
        <v>20</v>
      </c>
      <c r="G132" s="78">
        <v>90342</v>
      </c>
      <c r="I132" s="78" t="s">
        <v>48</v>
      </c>
      <c r="K132" s="80">
        <v>46063</v>
      </c>
      <c r="L132" s="78" t="s">
        <v>117</v>
      </c>
      <c r="M132" s="116"/>
      <c r="N132" s="81">
        <v>315183</v>
      </c>
      <c r="P132" s="80">
        <v>46085</v>
      </c>
      <c r="Q132" s="108" t="s">
        <v>237</v>
      </c>
      <c r="R132" s="117"/>
      <c r="S132" s="109">
        <v>34000</v>
      </c>
      <c r="U132" s="23"/>
      <c r="W132" s="133"/>
      <c r="X132" s="3"/>
      <c r="Y132" s="82"/>
    </row>
    <row r="133" spans="5:25" ht="15" x14ac:dyDescent="0.25">
      <c r="E133" s="79">
        <v>46113</v>
      </c>
      <c r="F133" s="78" t="s">
        <v>22</v>
      </c>
      <c r="G133" s="78">
        <v>52280</v>
      </c>
      <c r="I133" s="78" t="s">
        <v>48</v>
      </c>
      <c r="K133" s="80">
        <v>46063</v>
      </c>
      <c r="L133" s="78" t="s">
        <v>145</v>
      </c>
      <c r="M133" s="116"/>
      <c r="N133" s="81">
        <v>274081</v>
      </c>
      <c r="P133" s="80">
        <v>46086</v>
      </c>
      <c r="Q133" s="78" t="s">
        <v>138</v>
      </c>
      <c r="R133" s="117"/>
      <c r="S133" s="109">
        <v>9000</v>
      </c>
      <c r="U133" s="23"/>
      <c r="W133" s="133"/>
      <c r="X133" s="3"/>
      <c r="Y133" s="82"/>
    </row>
    <row r="134" spans="5:25" ht="15" x14ac:dyDescent="0.25">
      <c r="E134" s="79">
        <v>46113</v>
      </c>
      <c r="F134" s="78" t="s">
        <v>23</v>
      </c>
      <c r="G134" s="78">
        <v>52280</v>
      </c>
      <c r="I134" s="78" t="s">
        <v>48</v>
      </c>
      <c r="K134" s="80">
        <v>46063</v>
      </c>
      <c r="L134" s="78" t="s">
        <v>136</v>
      </c>
      <c r="M134" s="116"/>
      <c r="N134" s="111">
        <v>54000</v>
      </c>
      <c r="P134" s="80">
        <v>46086</v>
      </c>
      <c r="Q134" s="78" t="s">
        <v>138</v>
      </c>
      <c r="R134" s="117"/>
      <c r="S134" s="100">
        <v>7434</v>
      </c>
      <c r="U134" s="23"/>
      <c r="W134" s="92"/>
      <c r="X134" s="3"/>
      <c r="Y134" s="82"/>
    </row>
    <row r="135" spans="5:25" ht="15" x14ac:dyDescent="0.25">
      <c r="E135" s="79">
        <v>46113</v>
      </c>
      <c r="F135" s="78" t="s">
        <v>151</v>
      </c>
      <c r="G135" s="78">
        <v>42246</v>
      </c>
      <c r="I135" s="78" t="s">
        <v>48</v>
      </c>
      <c r="K135" s="80">
        <v>46063</v>
      </c>
      <c r="L135" s="78" t="s">
        <v>214</v>
      </c>
      <c r="M135" s="116"/>
      <c r="N135" s="111">
        <v>260000</v>
      </c>
      <c r="P135" s="80">
        <v>46086</v>
      </c>
      <c r="Q135" s="78" t="s">
        <v>176</v>
      </c>
      <c r="R135" s="117"/>
      <c r="S135" s="100">
        <v>12050</v>
      </c>
      <c r="U135" s="23"/>
      <c r="W135" s="92"/>
      <c r="X135" s="3"/>
      <c r="Y135" s="82"/>
    </row>
    <row r="136" spans="5:25" ht="15" x14ac:dyDescent="0.25">
      <c r="E136" s="79">
        <v>46113</v>
      </c>
      <c r="F136" s="78" t="s">
        <v>61</v>
      </c>
      <c r="G136" s="78">
        <v>10350</v>
      </c>
      <c r="I136" s="78" t="s">
        <v>48</v>
      </c>
      <c r="K136" s="80">
        <v>46064</v>
      </c>
      <c r="L136" s="78" t="s">
        <v>184</v>
      </c>
      <c r="M136" s="116"/>
      <c r="N136" s="111">
        <v>585000</v>
      </c>
      <c r="P136" s="80">
        <v>46087</v>
      </c>
      <c r="Q136" s="78" t="s">
        <v>208</v>
      </c>
      <c r="R136" s="117"/>
      <c r="S136" s="100">
        <f>4500+12000+4000</f>
        <v>20500</v>
      </c>
      <c r="U136" s="23"/>
      <c r="W136" s="92"/>
      <c r="X136" s="3"/>
      <c r="Y136" s="82"/>
    </row>
    <row r="137" spans="5:25" ht="15" x14ac:dyDescent="0.25">
      <c r="E137" s="79">
        <v>46113</v>
      </c>
      <c r="F137" s="78" t="s">
        <v>64</v>
      </c>
      <c r="G137" s="78">
        <v>123878</v>
      </c>
      <c r="I137" s="78" t="s">
        <v>48</v>
      </c>
      <c r="K137" s="80">
        <v>46064</v>
      </c>
      <c r="L137" s="78" t="s">
        <v>94</v>
      </c>
      <c r="M137" s="116"/>
      <c r="N137" s="81">
        <v>280012.09999999998</v>
      </c>
      <c r="P137" s="80">
        <v>46087</v>
      </c>
      <c r="Q137" s="78" t="s">
        <v>183</v>
      </c>
      <c r="R137" s="117"/>
      <c r="S137" s="100">
        <v>32240</v>
      </c>
      <c r="U137" s="23"/>
      <c r="W137" s="92"/>
      <c r="X137" s="3"/>
      <c r="Y137" s="82"/>
    </row>
    <row r="138" spans="5:25" ht="15" x14ac:dyDescent="0.25">
      <c r="E138" s="79">
        <v>46114</v>
      </c>
      <c r="F138" s="78" t="s">
        <v>60</v>
      </c>
      <c r="G138" s="78">
        <v>141512.71</v>
      </c>
      <c r="I138" s="78" t="s">
        <v>48</v>
      </c>
      <c r="K138" s="80">
        <v>46065</v>
      </c>
      <c r="L138" s="78" t="s">
        <v>133</v>
      </c>
      <c r="M138" s="116"/>
      <c r="N138" s="111">
        <v>930500</v>
      </c>
      <c r="P138" s="80">
        <v>46087</v>
      </c>
      <c r="Q138" s="78" t="s">
        <v>135</v>
      </c>
      <c r="R138" s="117"/>
      <c r="S138" s="100">
        <v>300000</v>
      </c>
      <c r="U138" s="23"/>
      <c r="W138" s="92"/>
      <c r="X138" s="3"/>
      <c r="Y138" s="82"/>
    </row>
    <row r="139" spans="5:25" ht="15" x14ac:dyDescent="0.25">
      <c r="E139" s="79">
        <v>46118</v>
      </c>
      <c r="F139" s="78" t="s">
        <v>54</v>
      </c>
      <c r="G139" s="78">
        <v>40000</v>
      </c>
      <c r="I139" s="78" t="s">
        <v>48</v>
      </c>
      <c r="K139" s="80">
        <v>46065</v>
      </c>
      <c r="L139" s="78" t="s">
        <v>167</v>
      </c>
      <c r="M139" s="116"/>
      <c r="N139" s="111">
        <v>553900</v>
      </c>
      <c r="P139" s="80">
        <v>46087</v>
      </c>
      <c r="Q139" s="78" t="s">
        <v>243</v>
      </c>
      <c r="R139" s="117"/>
      <c r="S139" s="100">
        <v>58000</v>
      </c>
      <c r="U139" s="23"/>
      <c r="W139" s="92"/>
      <c r="X139" s="3"/>
      <c r="Y139" s="82"/>
    </row>
    <row r="140" spans="5:25" ht="15" x14ac:dyDescent="0.25">
      <c r="E140" s="79">
        <v>46120</v>
      </c>
      <c r="F140" s="78" t="s">
        <v>57</v>
      </c>
      <c r="G140" s="78">
        <v>1358053.78</v>
      </c>
      <c r="H140" s="78">
        <v>50.42</v>
      </c>
      <c r="I140" s="78" t="s">
        <v>48</v>
      </c>
      <c r="K140" s="80">
        <v>46065</v>
      </c>
      <c r="L140" s="78" t="s">
        <v>142</v>
      </c>
      <c r="M140" s="116"/>
      <c r="N140" s="81">
        <v>576122</v>
      </c>
      <c r="P140" s="80">
        <v>46087</v>
      </c>
      <c r="Q140" s="78" t="s">
        <v>135</v>
      </c>
      <c r="R140" s="117"/>
      <c r="S140" s="100">
        <v>500000</v>
      </c>
      <c r="U140" s="23"/>
      <c r="W140" s="92"/>
      <c r="X140" s="3"/>
      <c r="Y140" s="82"/>
    </row>
    <row r="141" spans="5:25" ht="15" x14ac:dyDescent="0.25">
      <c r="E141" s="79">
        <v>46122</v>
      </c>
      <c r="F141" s="78" t="s">
        <v>13</v>
      </c>
      <c r="G141" s="78">
        <v>600000</v>
      </c>
      <c r="I141" s="78" t="s">
        <v>48</v>
      </c>
      <c r="K141" s="80">
        <v>46065</v>
      </c>
      <c r="L141" s="78" t="s">
        <v>217</v>
      </c>
      <c r="M141" s="116"/>
      <c r="N141" s="111">
        <v>118238</v>
      </c>
      <c r="P141" s="80">
        <v>46087</v>
      </c>
      <c r="Q141" s="78" t="s">
        <v>112</v>
      </c>
      <c r="R141" s="117"/>
      <c r="S141" s="100">
        <v>97003.97</v>
      </c>
      <c r="U141" s="23"/>
      <c r="W141" s="92"/>
      <c r="X141" s="3"/>
      <c r="Y141" s="82"/>
    </row>
    <row r="142" spans="5:25" ht="15" x14ac:dyDescent="0.25">
      <c r="E142" s="79">
        <v>46122</v>
      </c>
      <c r="F142" s="78" t="s">
        <v>14</v>
      </c>
      <c r="G142" s="78">
        <v>350000</v>
      </c>
      <c r="I142" s="78" t="s">
        <v>48</v>
      </c>
      <c r="K142" s="80">
        <v>46065</v>
      </c>
      <c r="L142" s="78" t="s">
        <v>142</v>
      </c>
      <c r="M142" s="116"/>
      <c r="N142" s="81">
        <v>123090</v>
      </c>
      <c r="P142" s="80">
        <v>46087</v>
      </c>
      <c r="Q142" s="78" t="s">
        <v>135</v>
      </c>
      <c r="R142" s="117"/>
      <c r="S142" s="100">
        <v>200000</v>
      </c>
      <c r="U142" s="23"/>
      <c r="W142" s="133"/>
      <c r="X142" s="3"/>
      <c r="Y142" s="82"/>
    </row>
    <row r="143" spans="5:25" ht="15" x14ac:dyDescent="0.25">
      <c r="E143" s="79">
        <v>46122</v>
      </c>
      <c r="F143" s="78" t="s">
        <v>15</v>
      </c>
      <c r="G143" s="78">
        <v>430000</v>
      </c>
      <c r="I143" s="78" t="s">
        <v>48</v>
      </c>
      <c r="K143" s="80">
        <v>46066</v>
      </c>
      <c r="L143" s="78" t="s">
        <v>218</v>
      </c>
      <c r="M143" s="116"/>
      <c r="N143" s="81">
        <v>134857.24</v>
      </c>
      <c r="P143" s="80">
        <v>46090</v>
      </c>
      <c r="Q143" s="78" t="s">
        <v>135</v>
      </c>
      <c r="R143" s="117"/>
      <c r="S143" s="100">
        <v>400000</v>
      </c>
      <c r="U143" s="23"/>
      <c r="W143" s="133"/>
      <c r="X143" s="3"/>
      <c r="Y143" s="82"/>
    </row>
    <row r="144" spans="5:25" ht="15" x14ac:dyDescent="0.25">
      <c r="E144" s="79">
        <v>46122</v>
      </c>
      <c r="F144" s="78" t="s">
        <v>16</v>
      </c>
      <c r="G144" s="78">
        <v>165000</v>
      </c>
      <c r="I144" s="78" t="s">
        <v>48</v>
      </c>
      <c r="K144" s="80">
        <v>46072</v>
      </c>
      <c r="L144" s="78" t="s">
        <v>218</v>
      </c>
      <c r="M144" s="116"/>
      <c r="N144" s="81">
        <v>338980.25</v>
      </c>
      <c r="P144" s="80">
        <v>46090</v>
      </c>
      <c r="Q144" s="78" t="s">
        <v>138</v>
      </c>
      <c r="R144" s="117"/>
      <c r="S144" s="100">
        <v>8000</v>
      </c>
      <c r="U144" s="23"/>
      <c r="W144" s="92"/>
      <c r="X144" s="3"/>
      <c r="Y144" s="82"/>
    </row>
    <row r="145" spans="5:25" ht="15" x14ac:dyDescent="0.25">
      <c r="E145" s="79">
        <v>46122</v>
      </c>
      <c r="F145" s="78" t="s">
        <v>21</v>
      </c>
      <c r="G145" s="78">
        <v>831762</v>
      </c>
      <c r="I145" s="78" t="s">
        <v>48</v>
      </c>
      <c r="K145" s="80">
        <v>46086</v>
      </c>
      <c r="L145" s="78" t="s">
        <v>155</v>
      </c>
      <c r="M145" s="116"/>
      <c r="N145" s="81">
        <v>300000</v>
      </c>
      <c r="P145" s="80">
        <v>46091</v>
      </c>
      <c r="Q145" s="78" t="s">
        <v>176</v>
      </c>
      <c r="R145" s="117"/>
      <c r="S145" s="100">
        <v>14940</v>
      </c>
      <c r="U145" s="23"/>
      <c r="W145" s="92"/>
      <c r="X145" s="3"/>
      <c r="Y145" s="82"/>
    </row>
    <row r="146" spans="5:25" ht="15" x14ac:dyDescent="0.25">
      <c r="E146" s="79">
        <v>46126</v>
      </c>
      <c r="F146" s="78" t="s">
        <v>80</v>
      </c>
      <c r="G146" s="78">
        <v>1582000</v>
      </c>
      <c r="I146" s="78" t="s">
        <v>48</v>
      </c>
      <c r="K146" s="80">
        <v>46090</v>
      </c>
      <c r="L146" s="78" t="s">
        <v>155</v>
      </c>
      <c r="M146" s="116"/>
      <c r="N146" s="81">
        <v>669426.68999999994</v>
      </c>
      <c r="P146" s="80">
        <v>46091</v>
      </c>
      <c r="Q146" s="78" t="s">
        <v>138</v>
      </c>
      <c r="R146" s="117"/>
      <c r="S146" s="100">
        <v>8000</v>
      </c>
      <c r="U146" s="23"/>
      <c r="W146" s="92"/>
      <c r="X146" s="3"/>
      <c r="Y146" s="82"/>
    </row>
    <row r="147" spans="5:25" ht="15" x14ac:dyDescent="0.25">
      <c r="E147" s="79">
        <v>46128</v>
      </c>
      <c r="F147" s="78" t="s">
        <v>11</v>
      </c>
      <c r="G147" s="78">
        <v>446304</v>
      </c>
      <c r="I147" s="78" t="s">
        <v>48</v>
      </c>
      <c r="K147" s="80">
        <v>46065</v>
      </c>
      <c r="L147" s="78" t="s">
        <v>219</v>
      </c>
      <c r="M147" s="116"/>
      <c r="N147" s="81">
        <v>89015.310000000056</v>
      </c>
      <c r="P147" s="80">
        <v>46093</v>
      </c>
      <c r="Q147" s="78" t="s">
        <v>176</v>
      </c>
      <c r="R147" s="117"/>
      <c r="S147" s="100">
        <v>9000</v>
      </c>
      <c r="U147" s="23"/>
      <c r="W147" s="133"/>
      <c r="X147" s="3"/>
      <c r="Y147" s="82"/>
    </row>
    <row r="148" spans="5:25" ht="15" x14ac:dyDescent="0.25">
      <c r="E148" s="79">
        <v>46128</v>
      </c>
      <c r="F148" s="78" t="s">
        <v>11</v>
      </c>
      <c r="G148" s="78">
        <v>410336</v>
      </c>
      <c r="I148" s="78" t="s">
        <v>48</v>
      </c>
      <c r="K148" s="80">
        <v>46065</v>
      </c>
      <c r="L148" s="108" t="s">
        <v>220</v>
      </c>
      <c r="M148" s="117"/>
      <c r="N148" s="110">
        <v>65887.320000000065</v>
      </c>
      <c r="P148" s="80">
        <v>46091</v>
      </c>
      <c r="Q148" s="78" t="s">
        <v>135</v>
      </c>
      <c r="R148" s="117"/>
      <c r="S148" s="100">
        <v>300000</v>
      </c>
      <c r="U148" s="23"/>
      <c r="W148" s="92"/>
      <c r="X148" s="3"/>
      <c r="Y148" s="82"/>
    </row>
    <row r="149" spans="5:25" ht="15" x14ac:dyDescent="0.25">
      <c r="E149" s="79">
        <v>46128</v>
      </c>
      <c r="F149" s="78" t="s">
        <v>59</v>
      </c>
      <c r="G149" s="78">
        <v>89083</v>
      </c>
      <c r="I149" s="78" t="s">
        <v>48</v>
      </c>
      <c r="K149" s="80">
        <v>46065</v>
      </c>
      <c r="L149" s="108" t="s">
        <v>127</v>
      </c>
      <c r="M149" s="117"/>
      <c r="N149" s="110">
        <v>188500</v>
      </c>
      <c r="P149" s="80">
        <v>46091</v>
      </c>
      <c r="Q149" s="78" t="s">
        <v>135</v>
      </c>
      <c r="R149" s="117"/>
      <c r="S149" s="100">
        <v>700000</v>
      </c>
      <c r="U149" s="23"/>
      <c r="W149" s="92"/>
      <c r="X149" s="3"/>
      <c r="Y149" s="82"/>
    </row>
    <row r="150" spans="5:25" ht="14.25" customHeight="1" x14ac:dyDescent="0.25">
      <c r="K150" s="80">
        <v>46066</v>
      </c>
      <c r="L150" s="108" t="s">
        <v>222</v>
      </c>
      <c r="M150" s="117"/>
      <c r="N150" s="110">
        <v>297283</v>
      </c>
      <c r="P150" s="80">
        <v>46094</v>
      </c>
      <c r="Q150" s="78" t="s">
        <v>260</v>
      </c>
      <c r="R150" s="117"/>
      <c r="S150" s="100">
        <v>77500</v>
      </c>
      <c r="U150" s="23"/>
      <c r="W150" s="92"/>
      <c r="X150" s="3"/>
      <c r="Y150" s="82"/>
    </row>
    <row r="151" spans="5:25" ht="14.25" customHeight="1" x14ac:dyDescent="0.25">
      <c r="K151" s="80">
        <v>46066</v>
      </c>
      <c r="L151" s="78" t="s">
        <v>125</v>
      </c>
      <c r="M151" s="116"/>
      <c r="N151" s="81">
        <f>(35000+100460+128840+406675+106600+140574)</f>
        <v>918149</v>
      </c>
      <c r="P151" s="80">
        <v>46094</v>
      </c>
      <c r="Q151" s="78" t="s">
        <v>152</v>
      </c>
      <c r="R151" s="117"/>
      <c r="S151" s="100">
        <v>120000</v>
      </c>
      <c r="U151" s="23"/>
      <c r="W151" s="92"/>
      <c r="X151" s="3"/>
      <c r="Y151" s="82"/>
    </row>
    <row r="152" spans="5:25" ht="14.25" customHeight="1" x14ac:dyDescent="0.25">
      <c r="K152" s="80">
        <v>46071</v>
      </c>
      <c r="L152" s="78" t="s">
        <v>182</v>
      </c>
      <c r="M152" s="116"/>
      <c r="N152" s="81">
        <v>550000</v>
      </c>
      <c r="P152" s="80">
        <v>46094</v>
      </c>
      <c r="Q152" s="78" t="s">
        <v>176</v>
      </c>
      <c r="R152" s="117"/>
      <c r="S152" s="100">
        <v>11700</v>
      </c>
      <c r="U152" s="23"/>
      <c r="W152" s="133"/>
      <c r="X152" s="3"/>
      <c r="Y152" s="82"/>
    </row>
    <row r="153" spans="5:25" ht="14.25" customHeight="1" x14ac:dyDescent="0.25">
      <c r="K153" s="80">
        <v>46071</v>
      </c>
      <c r="L153" s="78" t="s">
        <v>144</v>
      </c>
      <c r="M153" s="116"/>
      <c r="N153" s="81">
        <v>20000</v>
      </c>
      <c r="P153" s="80">
        <v>46094</v>
      </c>
      <c r="Q153" s="78" t="s">
        <v>135</v>
      </c>
      <c r="R153" s="117"/>
      <c r="S153" s="100">
        <v>400000</v>
      </c>
      <c r="U153" s="23"/>
      <c r="W153" s="133"/>
      <c r="X153" s="3"/>
      <c r="Y153" s="82"/>
    </row>
    <row r="154" spans="5:25" ht="14.25" customHeight="1" x14ac:dyDescent="0.25">
      <c r="K154" s="80">
        <v>46072</v>
      </c>
      <c r="L154" s="78" t="s">
        <v>224</v>
      </c>
      <c r="M154" s="116"/>
      <c r="N154" s="111">
        <v>183000</v>
      </c>
      <c r="P154" s="80">
        <v>46097</v>
      </c>
      <c r="Q154" s="78" t="s">
        <v>176</v>
      </c>
      <c r="R154" s="117"/>
      <c r="S154" s="100">
        <v>13000</v>
      </c>
      <c r="U154" s="23"/>
      <c r="W154" s="92"/>
      <c r="X154" s="3"/>
      <c r="Y154" s="82"/>
    </row>
    <row r="155" spans="5:25" ht="14.25" customHeight="1" x14ac:dyDescent="0.25">
      <c r="K155" s="80">
        <v>46072</v>
      </c>
      <c r="L155" s="78" t="s">
        <v>166</v>
      </c>
      <c r="M155" s="116"/>
      <c r="N155" s="81">
        <v>307106.55803151336</v>
      </c>
      <c r="P155" s="80">
        <v>46097</v>
      </c>
      <c r="Q155" s="78" t="s">
        <v>138</v>
      </c>
      <c r="R155" s="117"/>
      <c r="S155" s="100">
        <f>5740+7000</f>
        <v>12740</v>
      </c>
      <c r="U155" s="23"/>
      <c r="W155" s="92"/>
      <c r="X155" s="3"/>
      <c r="Y155" s="82"/>
    </row>
    <row r="156" spans="5:25" ht="14.25" customHeight="1" x14ac:dyDescent="0.25">
      <c r="K156" s="80">
        <v>46072</v>
      </c>
      <c r="L156" s="78" t="s">
        <v>225</v>
      </c>
      <c r="M156" s="116"/>
      <c r="N156" s="81">
        <v>289500</v>
      </c>
      <c r="P156" s="80">
        <v>46097</v>
      </c>
      <c r="Q156" s="78" t="s">
        <v>247</v>
      </c>
      <c r="R156" s="117"/>
      <c r="S156" s="100">
        <v>94009</v>
      </c>
      <c r="U156" s="23"/>
      <c r="W156" s="92"/>
      <c r="X156" s="3"/>
      <c r="Y156" s="82"/>
    </row>
    <row r="157" spans="5:25" ht="14.25" customHeight="1" x14ac:dyDescent="0.25">
      <c r="K157" s="80">
        <v>46072</v>
      </c>
      <c r="L157" s="78" t="s">
        <v>226</v>
      </c>
      <c r="M157" s="116"/>
      <c r="N157" s="118">
        <v>124000</v>
      </c>
      <c r="P157" s="80">
        <v>46099</v>
      </c>
      <c r="Q157" s="78" t="s">
        <v>261</v>
      </c>
      <c r="R157" s="117"/>
      <c r="S157" s="100">
        <v>10968</v>
      </c>
      <c r="U157" s="23"/>
      <c r="W157" s="92"/>
      <c r="X157" s="3"/>
      <c r="Y157" s="82"/>
    </row>
    <row r="158" spans="5:25" ht="14.25" customHeight="1" x14ac:dyDescent="0.25">
      <c r="K158" s="80">
        <v>46072</v>
      </c>
      <c r="L158" s="78" t="s">
        <v>130</v>
      </c>
      <c r="M158" s="116"/>
      <c r="N158" s="81">
        <v>400000</v>
      </c>
      <c r="P158" s="80">
        <v>46099</v>
      </c>
      <c r="Q158" s="78" t="s">
        <v>138</v>
      </c>
      <c r="R158" s="117"/>
      <c r="S158" s="100">
        <v>5500</v>
      </c>
      <c r="U158" s="23"/>
      <c r="W158" s="92"/>
      <c r="X158" s="3"/>
      <c r="Y158" s="82"/>
    </row>
    <row r="159" spans="5:25" ht="14.25" customHeight="1" x14ac:dyDescent="0.25">
      <c r="K159" s="80">
        <v>46072</v>
      </c>
      <c r="L159" s="78" t="s">
        <v>127</v>
      </c>
      <c r="M159" s="116"/>
      <c r="N159" s="81">
        <v>76000</v>
      </c>
      <c r="P159" s="80">
        <v>46099</v>
      </c>
      <c r="Q159" s="78" t="s">
        <v>135</v>
      </c>
      <c r="R159" s="117"/>
      <c r="S159" s="100">
        <v>500000</v>
      </c>
      <c r="U159" s="23"/>
      <c r="W159" s="92"/>
      <c r="X159" s="3"/>
      <c r="Y159" s="82"/>
    </row>
    <row r="160" spans="5:25" ht="14.25" customHeight="1" x14ac:dyDescent="0.25">
      <c r="K160" s="80">
        <v>46072</v>
      </c>
      <c r="L160" s="78" t="s">
        <v>147</v>
      </c>
      <c r="M160" s="116"/>
      <c r="N160" s="81">
        <v>441000</v>
      </c>
      <c r="P160" s="80">
        <v>46099</v>
      </c>
      <c r="Q160" s="78" t="s">
        <v>176</v>
      </c>
      <c r="R160" s="117"/>
      <c r="S160" s="100">
        <v>13000</v>
      </c>
      <c r="U160" s="23"/>
      <c r="W160" s="92"/>
      <c r="X160" s="3"/>
      <c r="Y160" s="82"/>
    </row>
    <row r="161" spans="11:25" ht="14.25" customHeight="1" x14ac:dyDescent="0.25">
      <c r="K161" s="80">
        <v>46072</v>
      </c>
      <c r="L161" s="78" t="s">
        <v>147</v>
      </c>
      <c r="M161" s="116"/>
      <c r="N161" s="81">
        <v>300000</v>
      </c>
      <c r="P161" s="80">
        <v>46099</v>
      </c>
      <c r="Q161" s="78" t="s">
        <v>263</v>
      </c>
      <c r="R161" s="117"/>
      <c r="S161" s="100">
        <v>73500</v>
      </c>
      <c r="U161" s="23"/>
      <c r="W161" s="92"/>
      <c r="X161" s="3"/>
      <c r="Y161" s="82"/>
    </row>
    <row r="162" spans="11:25" ht="14.25" customHeight="1" x14ac:dyDescent="0.25">
      <c r="K162" s="80">
        <v>46073</v>
      </c>
      <c r="L162" s="78" t="s">
        <v>123</v>
      </c>
      <c r="M162" s="116"/>
      <c r="N162" s="81">
        <v>206000</v>
      </c>
      <c r="P162" s="80">
        <v>46100</v>
      </c>
      <c r="Q162" s="78" t="s">
        <v>135</v>
      </c>
      <c r="R162" s="117"/>
      <c r="S162" s="100">
        <v>1178377.18</v>
      </c>
      <c r="U162" s="23"/>
      <c r="W162" s="92"/>
      <c r="X162" s="3"/>
      <c r="Y162" s="82"/>
    </row>
    <row r="163" spans="11:25" ht="14.25" customHeight="1" x14ac:dyDescent="0.25">
      <c r="K163" s="80">
        <v>46073</v>
      </c>
      <c r="L163" s="78" t="s">
        <v>144</v>
      </c>
      <c r="M163" s="116"/>
      <c r="N163" s="81">
        <v>40000</v>
      </c>
      <c r="P163" s="80">
        <v>46100</v>
      </c>
      <c r="Q163" s="78" t="s">
        <v>176</v>
      </c>
      <c r="R163" s="117"/>
      <c r="S163" s="100">
        <v>7600</v>
      </c>
      <c r="U163" s="23"/>
      <c r="W163" s="92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6"/>
      <c r="N164" s="81">
        <v>168200</v>
      </c>
      <c r="P164" s="80">
        <v>46100</v>
      </c>
      <c r="Q164" s="78" t="s">
        <v>138</v>
      </c>
      <c r="R164" s="117"/>
      <c r="S164" s="100">
        <v>8000</v>
      </c>
      <c r="U164" s="23"/>
      <c r="W164" s="92"/>
      <c r="X164" s="3"/>
      <c r="Y164" s="82"/>
    </row>
    <row r="165" spans="11:25" ht="14.25" customHeight="1" x14ac:dyDescent="0.25">
      <c r="K165" s="80">
        <v>46073</v>
      </c>
      <c r="L165" s="78" t="s">
        <v>125</v>
      </c>
      <c r="M165" s="116"/>
      <c r="N165" s="81">
        <v>175077.85</v>
      </c>
      <c r="P165" s="80">
        <v>46101</v>
      </c>
      <c r="Q165" s="78" t="s">
        <v>135</v>
      </c>
      <c r="R165" s="117"/>
      <c r="S165" s="100">
        <v>121622.82</v>
      </c>
      <c r="U165" s="23"/>
      <c r="W165" s="92"/>
      <c r="X165" s="3"/>
      <c r="Y165" s="82"/>
    </row>
    <row r="166" spans="11:25" ht="14.25" customHeight="1" x14ac:dyDescent="0.25">
      <c r="K166" s="80">
        <v>46073</v>
      </c>
      <c r="L166" s="78" t="s">
        <v>133</v>
      </c>
      <c r="M166" s="116"/>
      <c r="N166" s="111">
        <v>150000</v>
      </c>
      <c r="P166" s="80">
        <v>46102</v>
      </c>
      <c r="Q166" s="78" t="s">
        <v>243</v>
      </c>
      <c r="R166" s="117"/>
      <c r="S166" s="100">
        <v>60000</v>
      </c>
      <c r="U166" s="23"/>
      <c r="W166" s="92"/>
      <c r="X166" s="3"/>
      <c r="Y166" s="82"/>
    </row>
    <row r="167" spans="11:25" ht="14.25" customHeight="1" x14ac:dyDescent="0.25">
      <c r="K167" s="80">
        <v>46073</v>
      </c>
      <c r="L167" s="78" t="s">
        <v>147</v>
      </c>
      <c r="M167" s="116"/>
      <c r="N167" s="81">
        <v>360000</v>
      </c>
      <c r="P167" s="80">
        <v>46106</v>
      </c>
      <c r="Q167" s="78" t="s">
        <v>270</v>
      </c>
      <c r="R167" s="117"/>
      <c r="S167" s="100">
        <v>372748</v>
      </c>
      <c r="U167" s="23"/>
      <c r="W167" s="92"/>
      <c r="X167" s="3"/>
      <c r="Y167" s="82"/>
    </row>
    <row r="168" spans="11:25" ht="14.25" customHeight="1" x14ac:dyDescent="0.25">
      <c r="K168" s="80">
        <v>46073</v>
      </c>
      <c r="L168" s="78" t="s">
        <v>231</v>
      </c>
      <c r="M168" s="116"/>
      <c r="N168" s="81">
        <v>309000</v>
      </c>
      <c r="P168" s="80">
        <v>46106</v>
      </c>
      <c r="Q168" s="108" t="s">
        <v>271</v>
      </c>
      <c r="R168" s="117"/>
      <c r="S168" s="100">
        <v>1533000</v>
      </c>
      <c r="U168" s="23"/>
      <c r="W168" s="133"/>
      <c r="X168" s="3"/>
      <c r="Y168" s="82"/>
    </row>
    <row r="169" spans="11:25" ht="14.25" customHeight="1" x14ac:dyDescent="0.25">
      <c r="K169" s="80">
        <v>46074</v>
      </c>
      <c r="L169" s="78" t="s">
        <v>147</v>
      </c>
      <c r="M169" s="116"/>
      <c r="N169" s="81">
        <v>200000</v>
      </c>
      <c r="P169" s="80">
        <v>46106</v>
      </c>
      <c r="Q169" s="78" t="s">
        <v>247</v>
      </c>
      <c r="R169" s="117"/>
      <c r="S169" s="100">
        <v>96506</v>
      </c>
      <c r="U169" s="23"/>
      <c r="W169" s="133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6"/>
      <c r="N170" s="81">
        <v>632580</v>
      </c>
      <c r="P170" s="80">
        <v>46106</v>
      </c>
      <c r="Q170" s="78" t="s">
        <v>138</v>
      </c>
      <c r="R170" s="117"/>
      <c r="S170" s="100">
        <v>11360</v>
      </c>
      <c r="U170" s="23"/>
      <c r="W170" s="92"/>
      <c r="X170" s="3"/>
      <c r="Y170" s="82"/>
    </row>
    <row r="171" spans="11:25" ht="14.25" customHeight="1" x14ac:dyDescent="0.25">
      <c r="K171" s="80">
        <v>46076</v>
      </c>
      <c r="L171" s="78" t="s">
        <v>269</v>
      </c>
      <c r="M171" s="116"/>
      <c r="N171" s="81">
        <v>161820</v>
      </c>
      <c r="P171" s="80">
        <v>46106</v>
      </c>
      <c r="Q171" s="78" t="s">
        <v>176</v>
      </c>
      <c r="R171" s="117"/>
      <c r="S171" s="100">
        <v>10500</v>
      </c>
      <c r="U171" s="23"/>
      <c r="W171" s="92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6"/>
      <c r="N172" s="81">
        <v>265785</v>
      </c>
      <c r="P172" s="80">
        <v>46107</v>
      </c>
      <c r="Q172" s="78" t="s">
        <v>138</v>
      </c>
      <c r="R172" s="117"/>
      <c r="S172" s="100">
        <v>9000</v>
      </c>
      <c r="U172" s="23"/>
      <c r="W172" s="92"/>
      <c r="X172" s="3"/>
      <c r="Y172" s="82"/>
    </row>
    <row r="173" spans="11:25" ht="14.25" customHeight="1" x14ac:dyDescent="0.25">
      <c r="K173" s="80">
        <v>46076</v>
      </c>
      <c r="L173" s="78" t="s">
        <v>147</v>
      </c>
      <c r="M173" s="116"/>
      <c r="N173" s="81">
        <v>1832250</v>
      </c>
      <c r="P173" s="80">
        <v>46108</v>
      </c>
      <c r="Q173" s="78" t="s">
        <v>176</v>
      </c>
      <c r="R173" s="117"/>
      <c r="S173" s="100">
        <v>13200</v>
      </c>
      <c r="U173" s="23"/>
      <c r="W173" s="92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6"/>
      <c r="N174" s="81">
        <v>40000</v>
      </c>
      <c r="P174" s="80">
        <v>46108</v>
      </c>
      <c r="Q174" s="78" t="s">
        <v>138</v>
      </c>
      <c r="R174" s="117"/>
      <c r="S174" s="100">
        <v>80000</v>
      </c>
      <c r="U174" s="23"/>
      <c r="W174" s="92"/>
      <c r="X174" s="3"/>
      <c r="Y174" s="82"/>
    </row>
    <row r="175" spans="11:25" ht="14.25" customHeight="1" x14ac:dyDescent="0.25">
      <c r="K175" s="80">
        <v>46091</v>
      </c>
      <c r="L175" s="78" t="s">
        <v>154</v>
      </c>
      <c r="M175" s="116"/>
      <c r="N175" s="81">
        <v>344145.89</v>
      </c>
      <c r="P175" s="80">
        <v>46108</v>
      </c>
      <c r="Q175" s="78" t="s">
        <v>186</v>
      </c>
      <c r="R175" s="117"/>
      <c r="S175" s="100">
        <v>111680.09999999963</v>
      </c>
      <c r="U175" s="23"/>
      <c r="W175" s="92"/>
      <c r="X175" s="3"/>
      <c r="Y175" s="82"/>
    </row>
    <row r="176" spans="11:25" ht="14.25" customHeight="1" x14ac:dyDescent="0.25">
      <c r="K176" s="80">
        <v>46093</v>
      </c>
      <c r="L176" s="78" t="s">
        <v>155</v>
      </c>
      <c r="M176" s="116"/>
      <c r="N176" s="81">
        <v>271866.34000000003</v>
      </c>
      <c r="P176" s="80">
        <v>46108</v>
      </c>
      <c r="Q176" s="78" t="s">
        <v>135</v>
      </c>
      <c r="R176" s="117"/>
      <c r="S176" s="100">
        <v>169378</v>
      </c>
      <c r="U176" s="23"/>
      <c r="W176" s="133"/>
      <c r="X176" s="3"/>
      <c r="Y176" s="82"/>
    </row>
    <row r="177" spans="11:25" ht="14.25" customHeight="1" x14ac:dyDescent="0.25">
      <c r="K177" s="80">
        <v>46102</v>
      </c>
      <c r="L177" s="78" t="s">
        <v>155</v>
      </c>
      <c r="M177" s="116"/>
      <c r="N177" s="81">
        <v>266253.34999999998</v>
      </c>
      <c r="P177" s="80">
        <v>46108</v>
      </c>
      <c r="Q177" s="78" t="s">
        <v>135</v>
      </c>
      <c r="R177" s="117"/>
      <c r="S177" s="100">
        <v>140000</v>
      </c>
      <c r="U177" s="23"/>
      <c r="W177" s="92"/>
      <c r="X177" s="3"/>
      <c r="Y177" s="82"/>
    </row>
    <row r="178" spans="11:25" ht="14.25" customHeight="1" x14ac:dyDescent="0.25">
      <c r="K178" s="80">
        <v>46112</v>
      </c>
      <c r="L178" s="78" t="s">
        <v>155</v>
      </c>
      <c r="M178" s="116"/>
      <c r="N178" s="81">
        <v>266253.34999999998</v>
      </c>
      <c r="P178" s="80">
        <v>46109</v>
      </c>
      <c r="Q178" s="78" t="s">
        <v>135</v>
      </c>
      <c r="R178" s="117"/>
      <c r="S178" s="100">
        <v>600000</v>
      </c>
      <c r="U178" s="23"/>
      <c r="W178" s="92"/>
      <c r="X178" s="3"/>
      <c r="Y178" s="82"/>
    </row>
    <row r="179" spans="11:25" ht="14.25" customHeight="1" x14ac:dyDescent="0.25">
      <c r="K179" s="80">
        <v>46087</v>
      </c>
      <c r="L179" s="78" t="s">
        <v>154</v>
      </c>
      <c r="M179" s="116"/>
      <c r="N179" s="81">
        <v>2236591.81</v>
      </c>
      <c r="P179" s="80">
        <v>46109</v>
      </c>
      <c r="Q179" s="78" t="s">
        <v>135</v>
      </c>
      <c r="R179" s="117"/>
      <c r="S179" s="100">
        <v>260000</v>
      </c>
      <c r="U179" s="23"/>
      <c r="W179" s="92"/>
      <c r="X179" s="3"/>
      <c r="Y179" s="82"/>
    </row>
    <row r="180" spans="11:25" ht="14.25" customHeight="1" x14ac:dyDescent="0.25">
      <c r="K180" s="80">
        <v>46077</v>
      </c>
      <c r="L180" s="78" t="s">
        <v>155</v>
      </c>
      <c r="M180" s="116"/>
      <c r="N180" s="81">
        <v>150000</v>
      </c>
      <c r="P180" s="80">
        <v>46109</v>
      </c>
      <c r="Q180" s="78" t="s">
        <v>275</v>
      </c>
      <c r="R180" s="117"/>
      <c r="S180" s="100">
        <v>400000</v>
      </c>
      <c r="U180" s="23"/>
      <c r="W180" s="92"/>
      <c r="X180" s="3"/>
      <c r="Y180" s="82"/>
    </row>
    <row r="181" spans="11:25" ht="14.25" customHeight="1" x14ac:dyDescent="0.25">
      <c r="K181" s="80">
        <v>46080</v>
      </c>
      <c r="L181" s="78" t="s">
        <v>154</v>
      </c>
      <c r="M181" s="116"/>
      <c r="N181" s="81">
        <v>142813.26999999999</v>
      </c>
      <c r="P181" s="80">
        <v>46109</v>
      </c>
      <c r="Q181" s="78" t="s">
        <v>275</v>
      </c>
      <c r="R181" s="117"/>
      <c r="S181" s="100">
        <f>689937-S180</f>
        <v>289937</v>
      </c>
      <c r="U181" s="23"/>
      <c r="W181" s="92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6"/>
      <c r="N182" s="118">
        <v>189600</v>
      </c>
      <c r="P182" s="80">
        <v>46111</v>
      </c>
      <c r="Q182" s="78" t="s">
        <v>138</v>
      </c>
      <c r="R182" s="117"/>
      <c r="S182" s="100">
        <v>8000</v>
      </c>
      <c r="U182" s="23"/>
      <c r="W182" s="92"/>
      <c r="X182" s="3"/>
      <c r="Y182" s="82"/>
    </row>
    <row r="183" spans="11:25" ht="14.25" customHeight="1" x14ac:dyDescent="0.25">
      <c r="K183" s="80">
        <v>46077</v>
      </c>
      <c r="L183" s="78" t="s">
        <v>117</v>
      </c>
      <c r="M183" s="116"/>
      <c r="N183" s="111">
        <v>403079</v>
      </c>
      <c r="P183" s="80">
        <v>46112</v>
      </c>
      <c r="Q183" s="78" t="s">
        <v>277</v>
      </c>
      <c r="R183" s="117"/>
      <c r="S183" s="100">
        <v>15000</v>
      </c>
      <c r="U183" s="23"/>
      <c r="W183" s="92"/>
      <c r="X183" s="3"/>
      <c r="Y183" s="82"/>
    </row>
    <row r="184" spans="11:25" ht="14.25" customHeight="1" x14ac:dyDescent="0.25">
      <c r="K184" s="80">
        <v>46078</v>
      </c>
      <c r="L184" s="78" t="s">
        <v>238</v>
      </c>
      <c r="M184" s="116"/>
      <c r="N184" s="81">
        <v>250000</v>
      </c>
      <c r="P184" s="80">
        <v>46112</v>
      </c>
      <c r="Q184" s="78" t="s">
        <v>278</v>
      </c>
      <c r="R184" s="117"/>
      <c r="S184" s="100">
        <v>136000</v>
      </c>
      <c r="U184" s="23"/>
      <c r="W184" s="92"/>
      <c r="X184" s="3"/>
      <c r="Y184" s="82"/>
    </row>
    <row r="185" spans="11:25" ht="14.25" customHeight="1" x14ac:dyDescent="0.25">
      <c r="K185" s="80">
        <v>46078</v>
      </c>
      <c r="L185" s="78" t="s">
        <v>182</v>
      </c>
      <c r="M185" s="116"/>
      <c r="N185" s="111">
        <v>429300</v>
      </c>
      <c r="P185" s="80">
        <v>46112</v>
      </c>
      <c r="Q185" s="78" t="s">
        <v>176</v>
      </c>
      <c r="R185" s="117"/>
      <c r="S185" s="100">
        <v>12800</v>
      </c>
      <c r="U185" s="23"/>
      <c r="W185" s="133"/>
      <c r="X185" s="3"/>
      <c r="Y185" s="82"/>
    </row>
    <row r="186" spans="11:25" ht="14.25" customHeight="1" x14ac:dyDescent="0.25">
      <c r="K186" s="80">
        <v>46078</v>
      </c>
      <c r="L186" s="78" t="s">
        <v>133</v>
      </c>
      <c r="M186" s="116"/>
      <c r="N186" s="111">
        <v>1442400</v>
      </c>
      <c r="P186" s="80">
        <v>46112</v>
      </c>
      <c r="Q186" s="78" t="s">
        <v>279</v>
      </c>
      <c r="R186" s="117"/>
      <c r="S186" s="100">
        <v>18100</v>
      </c>
      <c r="U186" s="23"/>
      <c r="W186" s="92"/>
      <c r="X186" s="3"/>
      <c r="Y186" s="82"/>
    </row>
    <row r="187" spans="11:25" ht="14.25" customHeight="1" x14ac:dyDescent="0.25">
      <c r="K187" s="80">
        <v>46078</v>
      </c>
      <c r="L187" s="78" t="s">
        <v>195</v>
      </c>
      <c r="M187" s="116"/>
      <c r="N187" s="118">
        <v>164800</v>
      </c>
      <c r="P187" s="80">
        <v>46112</v>
      </c>
      <c r="Q187" s="78" t="s">
        <v>152</v>
      </c>
      <c r="R187" s="117"/>
      <c r="S187" s="100">
        <v>107029</v>
      </c>
      <c r="U187" s="23"/>
      <c r="W187" s="92"/>
      <c r="X187" s="3"/>
      <c r="Y187" s="82"/>
    </row>
    <row r="188" spans="11:25" ht="14.25" customHeight="1" x14ac:dyDescent="0.25">
      <c r="K188" s="80">
        <v>46078</v>
      </c>
      <c r="L188" s="78" t="s">
        <v>134</v>
      </c>
      <c r="M188" s="116"/>
      <c r="N188" s="81">
        <v>348000</v>
      </c>
      <c r="P188" s="80">
        <v>46112</v>
      </c>
      <c r="Q188" s="78" t="s">
        <v>152</v>
      </c>
      <c r="R188" s="117"/>
      <c r="S188" s="100">
        <v>111002</v>
      </c>
      <c r="U188" s="23"/>
      <c r="W188" s="92"/>
      <c r="X188" s="3"/>
      <c r="Y188" s="82"/>
    </row>
    <row r="189" spans="11:25" ht="14.25" customHeight="1" x14ac:dyDescent="0.25">
      <c r="K189" s="80">
        <v>46079</v>
      </c>
      <c r="L189" s="78" t="s">
        <v>240</v>
      </c>
      <c r="M189" s="116"/>
      <c r="N189" s="81">
        <v>547455</v>
      </c>
      <c r="P189" s="80">
        <v>46112</v>
      </c>
      <c r="Q189" s="78" t="s">
        <v>152</v>
      </c>
      <c r="R189" s="117"/>
      <c r="S189" s="100">
        <v>100024</v>
      </c>
      <c r="U189" s="23"/>
      <c r="W189" s="92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6"/>
      <c r="N190" s="81">
        <v>72165</v>
      </c>
      <c r="P190" s="80">
        <v>46112</v>
      </c>
      <c r="Q190" s="78" t="s">
        <v>280</v>
      </c>
      <c r="R190" s="117"/>
      <c r="S190" s="100">
        <v>48000</v>
      </c>
      <c r="U190" s="23"/>
      <c r="W190" s="133"/>
      <c r="X190" s="3"/>
      <c r="Y190" s="82"/>
    </row>
    <row r="191" spans="11:25" ht="14.25" customHeight="1" x14ac:dyDescent="0.25">
      <c r="K191" s="80">
        <v>46079</v>
      </c>
      <c r="L191" s="78" t="s">
        <v>241</v>
      </c>
      <c r="M191" s="116"/>
      <c r="N191" s="111">
        <v>411628.06</v>
      </c>
      <c r="P191" s="80">
        <v>46113</v>
      </c>
      <c r="Q191" s="78" t="s">
        <v>283</v>
      </c>
      <c r="R191" s="117"/>
      <c r="S191" s="100">
        <v>220000</v>
      </c>
      <c r="U191" s="23"/>
      <c r="W191" s="133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6"/>
      <c r="N192" s="118">
        <v>75000</v>
      </c>
      <c r="P192" s="80">
        <v>46113</v>
      </c>
      <c r="Q192" s="78" t="s">
        <v>175</v>
      </c>
      <c r="R192" s="117"/>
      <c r="S192" s="100">
        <v>34000</v>
      </c>
      <c r="U192" s="23"/>
      <c r="W192" s="92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6"/>
      <c r="N193" s="81">
        <v>800000</v>
      </c>
      <c r="P193" s="80">
        <v>46113</v>
      </c>
      <c r="Q193" s="78" t="s">
        <v>176</v>
      </c>
      <c r="R193" s="117"/>
      <c r="S193" s="100">
        <v>11200</v>
      </c>
      <c r="U193" s="23"/>
      <c r="W193" s="92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6"/>
      <c r="N194" s="111">
        <v>160000</v>
      </c>
      <c r="P194" s="80">
        <v>46113</v>
      </c>
      <c r="Q194" s="78" t="s">
        <v>138</v>
      </c>
      <c r="R194" s="117"/>
      <c r="S194" s="100">
        <v>9000</v>
      </c>
      <c r="U194" s="23"/>
      <c r="W194" s="92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6"/>
      <c r="N195" s="81">
        <v>99034</v>
      </c>
      <c r="P195" s="80">
        <v>46114</v>
      </c>
      <c r="Q195" s="78" t="s">
        <v>135</v>
      </c>
      <c r="R195" s="117"/>
      <c r="S195" s="100">
        <v>300000</v>
      </c>
      <c r="U195" s="23"/>
      <c r="W195" s="92"/>
      <c r="X195" s="3"/>
      <c r="Y195" s="82"/>
    </row>
    <row r="196" spans="11:25" ht="14.25" customHeight="1" x14ac:dyDescent="0.25">
      <c r="K196" s="80">
        <v>46083</v>
      </c>
      <c r="L196" s="78" t="s">
        <v>231</v>
      </c>
      <c r="M196" s="116"/>
      <c r="N196" s="81">
        <v>620000</v>
      </c>
      <c r="P196" s="80">
        <v>46114</v>
      </c>
      <c r="Q196" s="78" t="s">
        <v>135</v>
      </c>
      <c r="R196" s="117"/>
      <c r="S196" s="100">
        <v>150000</v>
      </c>
      <c r="U196" s="23"/>
      <c r="W196" s="92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6"/>
      <c r="N197" s="81">
        <v>210000</v>
      </c>
      <c r="P197" s="80">
        <v>46115</v>
      </c>
      <c r="Q197" s="78" t="s">
        <v>135</v>
      </c>
      <c r="R197" s="117"/>
      <c r="S197" s="100">
        <v>200000</v>
      </c>
      <c r="U197" s="23"/>
      <c r="W197" s="92"/>
      <c r="X197" s="3"/>
      <c r="Y197" s="82"/>
    </row>
    <row r="198" spans="11:25" ht="14.25" customHeight="1" x14ac:dyDescent="0.25">
      <c r="K198" s="80">
        <v>46083</v>
      </c>
      <c r="L198" s="78" t="s">
        <v>248</v>
      </c>
      <c r="M198" s="116"/>
      <c r="N198" s="111">
        <v>380000</v>
      </c>
      <c r="P198" s="80">
        <v>46118</v>
      </c>
      <c r="Q198" s="78" t="s">
        <v>138</v>
      </c>
      <c r="R198" s="117"/>
      <c r="S198" s="100">
        <v>10856</v>
      </c>
      <c r="U198" s="23"/>
      <c r="W198" s="92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6"/>
      <c r="N199" s="81">
        <v>632000</v>
      </c>
      <c r="P199" s="80">
        <v>46118</v>
      </c>
      <c r="Q199" s="78" t="s">
        <v>176</v>
      </c>
      <c r="R199" s="117"/>
      <c r="S199" s="100">
        <v>5099</v>
      </c>
      <c r="U199" s="23"/>
      <c r="W199" s="92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6"/>
      <c r="N200" s="81">
        <v>150000</v>
      </c>
      <c r="P200" s="80">
        <v>46120</v>
      </c>
      <c r="Q200" s="78" t="s">
        <v>135</v>
      </c>
      <c r="R200" s="117"/>
      <c r="S200" s="100">
        <v>300000</v>
      </c>
      <c r="U200" s="23"/>
      <c r="W200" s="92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6"/>
      <c r="N201" s="81">
        <v>222700</v>
      </c>
      <c r="P201" s="80">
        <v>46120</v>
      </c>
      <c r="Q201" s="78" t="s">
        <v>284</v>
      </c>
      <c r="R201" s="117"/>
      <c r="S201" s="100">
        <v>280000</v>
      </c>
      <c r="U201" s="23"/>
      <c r="W201" s="92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6"/>
      <c r="N202" s="81">
        <v>342000</v>
      </c>
      <c r="P202" s="80">
        <v>46120</v>
      </c>
      <c r="Q202" s="78" t="s">
        <v>285</v>
      </c>
      <c r="R202" s="117"/>
      <c r="S202" s="100">
        <v>110900</v>
      </c>
      <c r="U202" s="23"/>
      <c r="W202" s="92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6" t="s">
        <v>48</v>
      </c>
      <c r="N203" s="81">
        <v>230000</v>
      </c>
      <c r="P203" s="80">
        <v>46120</v>
      </c>
      <c r="Q203" s="78" t="s">
        <v>286</v>
      </c>
      <c r="R203" s="117"/>
      <c r="S203" s="100">
        <v>650000</v>
      </c>
      <c r="U203" s="23"/>
      <c r="W203" s="92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6"/>
      <c r="N204" s="111">
        <v>546000</v>
      </c>
      <c r="P204" s="80">
        <v>46120</v>
      </c>
      <c r="Q204" s="78" t="s">
        <v>138</v>
      </c>
      <c r="R204" s="117"/>
      <c r="S204" s="100">
        <v>8000</v>
      </c>
      <c r="U204" s="23"/>
      <c r="W204" s="92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6"/>
      <c r="N205" s="81">
        <v>465000</v>
      </c>
      <c r="P205" s="80">
        <v>46126</v>
      </c>
      <c r="Q205" s="78" t="s">
        <v>287</v>
      </c>
      <c r="R205" s="117"/>
      <c r="S205" s="100">
        <v>210000</v>
      </c>
      <c r="U205" s="23"/>
      <c r="W205" s="92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6"/>
      <c r="N206" s="111">
        <v>88500</v>
      </c>
      <c r="P206" s="80">
        <v>46122</v>
      </c>
      <c r="Q206" s="78" t="s">
        <v>138</v>
      </c>
      <c r="R206" s="117"/>
      <c r="S206" s="100">
        <v>8400</v>
      </c>
      <c r="U206" s="23"/>
      <c r="W206" s="92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6"/>
      <c r="N207" s="81">
        <v>265145.5</v>
      </c>
      <c r="P207" s="80">
        <v>46122</v>
      </c>
      <c r="Q207" s="78" t="s">
        <v>176</v>
      </c>
      <c r="R207" s="117"/>
      <c r="S207" s="100">
        <v>14000</v>
      </c>
      <c r="U207" s="23"/>
      <c r="V207" s="78"/>
      <c r="W207" s="92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6"/>
      <c r="N208" s="111">
        <v>220000</v>
      </c>
      <c r="P208" s="80">
        <v>46122</v>
      </c>
      <c r="Q208" s="78" t="s">
        <v>135</v>
      </c>
      <c r="R208" s="117"/>
      <c r="S208" s="100">
        <v>300000</v>
      </c>
      <c r="U208" s="23"/>
      <c r="V208" s="78"/>
      <c r="W208" s="92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6"/>
      <c r="N209" s="111">
        <v>300000</v>
      </c>
      <c r="P209" s="80">
        <v>46122</v>
      </c>
      <c r="Q209" s="78" t="s">
        <v>112</v>
      </c>
      <c r="R209" s="117"/>
      <c r="S209" s="100">
        <v>40000</v>
      </c>
      <c r="U209" s="23"/>
      <c r="V209" s="78"/>
      <c r="W209" s="92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6"/>
      <c r="N210" s="81">
        <v>196500</v>
      </c>
      <c r="P210" s="80">
        <v>46125</v>
      </c>
      <c r="Q210" s="78" t="s">
        <v>152</v>
      </c>
      <c r="R210" s="117"/>
      <c r="S210" s="100">
        <v>160000</v>
      </c>
      <c r="U210" s="23"/>
      <c r="V210" s="78"/>
      <c r="W210" s="92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6"/>
      <c r="N211" s="81">
        <v>70000</v>
      </c>
      <c r="P211" s="80">
        <v>46123</v>
      </c>
      <c r="Q211" s="78" t="s">
        <v>135</v>
      </c>
      <c r="R211" s="117"/>
      <c r="S211" s="100">
        <v>500000</v>
      </c>
      <c r="U211" s="23"/>
      <c r="V211" s="78"/>
      <c r="W211" s="92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6" t="s">
        <v>48</v>
      </c>
      <c r="N212" s="81">
        <v>569000</v>
      </c>
      <c r="P212" s="80">
        <v>46126</v>
      </c>
      <c r="Q212" s="78" t="s">
        <v>138</v>
      </c>
      <c r="R212" s="117"/>
      <c r="S212" s="100">
        <v>7565</v>
      </c>
      <c r="U212" s="23"/>
      <c r="V212" s="78"/>
      <c r="W212" s="92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6"/>
      <c r="N213" s="81">
        <v>345770</v>
      </c>
      <c r="P213" s="80">
        <v>46126</v>
      </c>
      <c r="Q213" s="78" t="s">
        <v>176</v>
      </c>
      <c r="R213" s="117"/>
      <c r="S213" s="100">
        <v>8000</v>
      </c>
      <c r="U213" s="23"/>
      <c r="V213" s="78"/>
      <c r="W213" s="92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6"/>
      <c r="N214" s="118">
        <v>171700</v>
      </c>
      <c r="P214" s="80">
        <v>46126</v>
      </c>
      <c r="Q214" s="78" t="s">
        <v>138</v>
      </c>
      <c r="R214" s="117"/>
      <c r="S214" s="100">
        <v>8500</v>
      </c>
      <c r="U214" s="23"/>
      <c r="V214" s="78"/>
      <c r="W214" s="92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6" t="s">
        <v>48</v>
      </c>
      <c r="N215" s="81">
        <f>179000+9022.5</f>
        <v>188022.5</v>
      </c>
      <c r="P215" s="80">
        <v>46127</v>
      </c>
      <c r="Q215" s="78" t="s">
        <v>176</v>
      </c>
      <c r="R215" s="117"/>
      <c r="S215" s="100">
        <v>12000</v>
      </c>
      <c r="U215" s="23"/>
      <c r="V215" s="78"/>
      <c r="W215" s="92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6"/>
      <c r="N216" s="111">
        <v>210000</v>
      </c>
      <c r="P216" s="80">
        <v>46127</v>
      </c>
      <c r="Q216" s="78" t="s">
        <v>138</v>
      </c>
      <c r="R216" s="117"/>
      <c r="S216" s="100">
        <v>8000</v>
      </c>
      <c r="U216" s="23"/>
      <c r="V216" s="78"/>
      <c r="W216" s="92"/>
      <c r="X216" s="78"/>
      <c r="Y216" s="82"/>
    </row>
    <row r="217" spans="11:25" ht="14.25" customHeight="1" x14ac:dyDescent="0.25">
      <c r="K217" s="80">
        <v>46087</v>
      </c>
      <c r="L217" s="78" t="s">
        <v>249</v>
      </c>
      <c r="M217" s="116"/>
      <c r="N217" s="81">
        <v>374339.67</v>
      </c>
      <c r="P217" s="80">
        <v>46128</v>
      </c>
      <c r="Q217" s="78" t="s">
        <v>135</v>
      </c>
      <c r="R217" s="117"/>
      <c r="S217" s="100">
        <v>250000</v>
      </c>
      <c r="U217" s="23"/>
      <c r="V217" s="78"/>
      <c r="W217" s="92"/>
      <c r="X217" s="78"/>
      <c r="Y217" s="82"/>
    </row>
    <row r="218" spans="11:25" ht="14.25" customHeight="1" x14ac:dyDescent="0.25">
      <c r="K218" s="80">
        <v>46087</v>
      </c>
      <c r="L218" s="78" t="s">
        <v>250</v>
      </c>
      <c r="M218" s="116"/>
      <c r="N218" s="111">
        <v>590000</v>
      </c>
      <c r="P218" s="80">
        <v>46129</v>
      </c>
      <c r="Q218" s="78" t="s">
        <v>216</v>
      </c>
      <c r="R218" s="117"/>
      <c r="S218" s="100">
        <v>59000</v>
      </c>
      <c r="U218" s="23"/>
      <c r="V218" s="78"/>
      <c r="W218" s="92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6"/>
      <c r="N219" s="81">
        <v>666056.32999999996</v>
      </c>
      <c r="P219" s="80">
        <v>46129</v>
      </c>
      <c r="Q219" s="78" t="s">
        <v>135</v>
      </c>
      <c r="R219" s="117"/>
      <c r="S219" s="100">
        <v>300000</v>
      </c>
      <c r="U219" s="23"/>
      <c r="V219" s="78"/>
      <c r="W219" s="92"/>
      <c r="X219" s="78"/>
      <c r="Y219" s="82"/>
    </row>
    <row r="220" spans="11:25" ht="14.25" customHeight="1" x14ac:dyDescent="0.25">
      <c r="K220" s="80">
        <v>46088</v>
      </c>
      <c r="L220" s="78" t="s">
        <v>231</v>
      </c>
      <c r="M220" s="116"/>
      <c r="N220" s="81">
        <v>149000</v>
      </c>
      <c r="P220" s="80">
        <v>46129</v>
      </c>
      <c r="Q220" s="78" t="s">
        <v>135</v>
      </c>
      <c r="R220" s="117"/>
      <c r="S220" s="100">
        <v>500000</v>
      </c>
      <c r="U220" s="23"/>
      <c r="W220" s="92"/>
      <c r="X220" s="3"/>
      <c r="Y220" s="82"/>
    </row>
    <row r="221" spans="11:25" ht="14.25" customHeight="1" x14ac:dyDescent="0.25">
      <c r="K221" s="80">
        <v>46090</v>
      </c>
      <c r="L221" s="78" t="s">
        <v>231</v>
      </c>
      <c r="M221" s="116"/>
      <c r="N221" s="81">
        <v>180000</v>
      </c>
      <c r="P221" s="80">
        <v>46129</v>
      </c>
      <c r="Q221" s="78" t="s">
        <v>135</v>
      </c>
      <c r="R221" s="117"/>
      <c r="S221" s="100">
        <v>300000</v>
      </c>
      <c r="U221" s="23"/>
      <c r="W221" s="92"/>
      <c r="X221" s="3"/>
      <c r="Y221" s="82"/>
    </row>
    <row r="222" spans="11:25" ht="14.25" customHeight="1" x14ac:dyDescent="0.25">
      <c r="K222" s="80">
        <v>46090</v>
      </c>
      <c r="L222" s="78" t="s">
        <v>251</v>
      </c>
      <c r="M222" s="116"/>
      <c r="N222" s="111">
        <v>115000</v>
      </c>
      <c r="P222" s="178"/>
      <c r="Q222" s="179" t="s">
        <v>290</v>
      </c>
      <c r="R222" s="180"/>
      <c r="S222" s="181">
        <v>631404.27</v>
      </c>
      <c r="U222" s="23"/>
      <c r="W222" s="92"/>
      <c r="X222" s="3"/>
      <c r="Y222" s="82"/>
    </row>
    <row r="223" spans="11:25" ht="14.25" customHeight="1" x14ac:dyDescent="0.25">
      <c r="K223" s="80">
        <v>46090</v>
      </c>
      <c r="L223" s="78" t="s">
        <v>251</v>
      </c>
      <c r="M223" s="116"/>
      <c r="N223" s="111">
        <v>150000</v>
      </c>
      <c r="P223" s="80">
        <v>46128</v>
      </c>
      <c r="Q223" s="78" t="s">
        <v>138</v>
      </c>
      <c r="R223" s="117"/>
      <c r="S223" s="100">
        <v>10000</v>
      </c>
      <c r="U223" s="23"/>
      <c r="W223" s="92"/>
      <c r="X223" s="3"/>
      <c r="Y223" s="82"/>
    </row>
    <row r="224" spans="11:25" ht="14.25" customHeight="1" x14ac:dyDescent="0.25">
      <c r="K224" s="80">
        <v>46090</v>
      </c>
      <c r="L224" s="78" t="s">
        <v>251</v>
      </c>
      <c r="M224" s="116"/>
      <c r="N224" s="111">
        <v>200000</v>
      </c>
      <c r="P224" s="80">
        <v>46128</v>
      </c>
      <c r="Q224" s="78" t="s">
        <v>138</v>
      </c>
      <c r="R224" s="117"/>
      <c r="S224" s="100">
        <v>7800</v>
      </c>
      <c r="U224" s="23"/>
      <c r="W224" s="92"/>
      <c r="X224" s="3"/>
      <c r="Y224" s="82"/>
    </row>
    <row r="225" spans="11:25" ht="14.25" customHeight="1" x14ac:dyDescent="0.25">
      <c r="K225" s="80">
        <v>46090</v>
      </c>
      <c r="L225" s="78" t="s">
        <v>231</v>
      </c>
      <c r="M225" s="116"/>
      <c r="N225" s="81">
        <v>95000</v>
      </c>
      <c r="P225" s="80">
        <v>46128</v>
      </c>
      <c r="Q225" s="78" t="s">
        <v>176</v>
      </c>
      <c r="R225" s="117"/>
      <c r="S225" s="100">
        <v>13000</v>
      </c>
      <c r="U225" s="23"/>
      <c r="W225" s="92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6"/>
      <c r="N226" s="81">
        <v>400000</v>
      </c>
      <c r="P226" s="80">
        <v>46129</v>
      </c>
      <c r="Q226" s="78" t="s">
        <v>176</v>
      </c>
      <c r="R226" s="117"/>
      <c r="S226" s="100">
        <v>8500</v>
      </c>
      <c r="U226" s="23"/>
      <c r="W226" s="92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6"/>
      <c r="N227" s="81">
        <v>302332</v>
      </c>
      <c r="U227" s="23"/>
      <c r="W227" s="92"/>
      <c r="X227" s="3"/>
    </row>
    <row r="228" spans="11:25" ht="14.25" customHeight="1" x14ac:dyDescent="0.25">
      <c r="K228" s="80">
        <v>46083</v>
      </c>
      <c r="L228" s="78" t="s">
        <v>154</v>
      </c>
      <c r="M228" s="116"/>
      <c r="N228" s="81">
        <v>205046.35</v>
      </c>
      <c r="U228" s="23"/>
      <c r="W228" s="92"/>
      <c r="X228" s="3"/>
    </row>
    <row r="229" spans="11:25" ht="14.25" customHeight="1" x14ac:dyDescent="0.25">
      <c r="K229" s="80">
        <v>46117</v>
      </c>
      <c r="L229" s="78" t="s">
        <v>155</v>
      </c>
      <c r="M229" s="116"/>
      <c r="N229" s="81">
        <v>306041.12</v>
      </c>
      <c r="U229" s="23"/>
      <c r="W229" s="92"/>
      <c r="X229" s="3"/>
    </row>
    <row r="230" spans="11:25" ht="14.25" customHeight="1" x14ac:dyDescent="0.25">
      <c r="K230" s="80">
        <v>46105</v>
      </c>
      <c r="L230" s="78" t="s">
        <v>154</v>
      </c>
      <c r="M230" s="116"/>
      <c r="N230" s="81">
        <v>709111.33000000007</v>
      </c>
      <c r="U230" s="23"/>
      <c r="W230" s="92"/>
      <c r="X230" s="3"/>
    </row>
    <row r="231" spans="11:25" ht="14.25" customHeight="1" x14ac:dyDescent="0.25">
      <c r="K231" s="80">
        <v>46099</v>
      </c>
      <c r="L231" s="78" t="s">
        <v>154</v>
      </c>
      <c r="M231" s="116"/>
      <c r="N231" s="81">
        <v>709111.33000000007</v>
      </c>
      <c r="U231" s="23"/>
      <c r="W231" s="92"/>
      <c r="X231" s="3"/>
    </row>
    <row r="232" spans="11:25" ht="14.25" customHeight="1" x14ac:dyDescent="0.25">
      <c r="K232" s="80">
        <v>46093</v>
      </c>
      <c r="L232" s="78" t="s">
        <v>154</v>
      </c>
      <c r="M232" s="116"/>
      <c r="N232" s="81">
        <v>400000</v>
      </c>
      <c r="U232" s="23"/>
      <c r="W232" s="92"/>
      <c r="X232" s="3"/>
    </row>
    <row r="233" spans="11:25" ht="14.25" customHeight="1" x14ac:dyDescent="0.25">
      <c r="K233" s="80">
        <v>46101</v>
      </c>
      <c r="L233" s="78" t="s">
        <v>154</v>
      </c>
      <c r="M233" s="116"/>
      <c r="N233" s="81">
        <v>300000</v>
      </c>
      <c r="U233" s="23"/>
      <c r="W233" s="92"/>
      <c r="X233" s="3"/>
    </row>
    <row r="234" spans="11:25" ht="14.25" customHeight="1" x14ac:dyDescent="0.25">
      <c r="K234" s="80">
        <v>46090</v>
      </c>
      <c r="L234" s="78" t="s">
        <v>231</v>
      </c>
      <c r="M234" s="116"/>
      <c r="N234" s="81">
        <v>180000</v>
      </c>
      <c r="U234" s="23"/>
      <c r="W234" s="92"/>
      <c r="X234" s="3"/>
    </row>
    <row r="235" spans="11:25" ht="14.25" customHeight="1" x14ac:dyDescent="0.25">
      <c r="K235" s="80">
        <v>46091</v>
      </c>
      <c r="L235" s="78" t="s">
        <v>231</v>
      </c>
      <c r="M235" s="116"/>
      <c r="N235" s="81">
        <v>36732.379999999997</v>
      </c>
      <c r="U235" s="23"/>
      <c r="X235" s="3"/>
    </row>
    <row r="236" spans="11:25" ht="14.25" customHeight="1" x14ac:dyDescent="0.25">
      <c r="K236" s="80">
        <v>46091</v>
      </c>
      <c r="L236" s="78" t="s">
        <v>252</v>
      </c>
      <c r="M236" s="116"/>
      <c r="N236" s="81">
        <v>190000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6"/>
      <c r="N237" s="111">
        <v>600000</v>
      </c>
      <c r="X237" s="3"/>
    </row>
    <row r="238" spans="11:25" ht="14.25" customHeight="1" x14ac:dyDescent="0.25">
      <c r="K238" s="80">
        <v>46091</v>
      </c>
      <c r="L238" s="78" t="s">
        <v>253</v>
      </c>
      <c r="M238" s="116"/>
      <c r="N238" s="81">
        <v>99034</v>
      </c>
      <c r="X238" s="3"/>
    </row>
    <row r="239" spans="11:25" ht="14.25" customHeight="1" x14ac:dyDescent="0.25">
      <c r="K239" s="80">
        <v>46091</v>
      </c>
      <c r="L239" s="78" t="s">
        <v>147</v>
      </c>
      <c r="M239" s="116"/>
      <c r="N239" s="81">
        <v>259682.5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6"/>
      <c r="N240" s="111">
        <v>210000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6"/>
      <c r="N241" s="111">
        <v>407451</v>
      </c>
      <c r="X241" s="3"/>
    </row>
    <row r="242" spans="11:24" ht="14.25" customHeight="1" x14ac:dyDescent="0.25">
      <c r="K242" s="80">
        <v>46092</v>
      </c>
      <c r="L242" s="78" t="s">
        <v>254</v>
      </c>
      <c r="M242" s="116"/>
      <c r="N242" s="81">
        <v>128788.55</v>
      </c>
      <c r="X242" s="3"/>
    </row>
    <row r="243" spans="11:24" ht="14.25" customHeight="1" x14ac:dyDescent="0.25">
      <c r="K243" s="80">
        <v>46092</v>
      </c>
      <c r="L243" s="78" t="s">
        <v>136</v>
      </c>
      <c r="M243" s="116"/>
      <c r="N243" s="111">
        <v>38800</v>
      </c>
      <c r="X243" s="3"/>
    </row>
    <row r="244" spans="11:24" ht="14.25" customHeight="1" x14ac:dyDescent="0.25">
      <c r="K244" s="80">
        <v>46092</v>
      </c>
      <c r="L244" s="78" t="s">
        <v>255</v>
      </c>
      <c r="M244" s="116"/>
      <c r="N244" s="81">
        <v>380000</v>
      </c>
      <c r="X244" s="3"/>
    </row>
    <row r="245" spans="11:24" ht="14.25" customHeight="1" x14ac:dyDescent="0.25">
      <c r="K245" s="80">
        <v>46092</v>
      </c>
      <c r="L245" s="78" t="s">
        <v>214</v>
      </c>
      <c r="M245" s="116"/>
      <c r="N245" s="81">
        <v>210000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6"/>
      <c r="N246" s="81">
        <v>300000</v>
      </c>
      <c r="X246" s="3"/>
    </row>
    <row r="247" spans="11:24" ht="14.25" customHeight="1" x14ac:dyDescent="0.25">
      <c r="K247" s="80">
        <v>46093</v>
      </c>
      <c r="L247" s="78" t="s">
        <v>257</v>
      </c>
      <c r="M247" s="116"/>
      <c r="N247" s="81">
        <v>263500</v>
      </c>
      <c r="X247" s="3"/>
    </row>
    <row r="248" spans="11:24" ht="14.25" customHeight="1" x14ac:dyDescent="0.25">
      <c r="K248" s="80">
        <v>46093</v>
      </c>
      <c r="L248" s="78" t="s">
        <v>149</v>
      </c>
      <c r="M248" s="116"/>
      <c r="N248" s="81">
        <v>66000</v>
      </c>
      <c r="X248" s="3"/>
    </row>
    <row r="249" spans="11:24" ht="14.25" customHeight="1" x14ac:dyDescent="0.25">
      <c r="K249" s="80">
        <v>46093</v>
      </c>
      <c r="L249" s="78" t="s">
        <v>253</v>
      </c>
      <c r="M249" s="116"/>
      <c r="N249" s="81">
        <v>226936</v>
      </c>
      <c r="X249" s="3"/>
    </row>
    <row r="250" spans="11:24" ht="14.25" customHeight="1" x14ac:dyDescent="0.25">
      <c r="K250" s="80">
        <v>46093</v>
      </c>
      <c r="L250" s="78" t="s">
        <v>133</v>
      </c>
      <c r="M250" s="116"/>
      <c r="N250" s="81">
        <v>413000</v>
      </c>
      <c r="X250" s="3"/>
    </row>
    <row r="251" spans="11:24" ht="14.25" customHeight="1" x14ac:dyDescent="0.25">
      <c r="K251" s="80">
        <v>46093</v>
      </c>
      <c r="L251" s="78" t="s">
        <v>258</v>
      </c>
      <c r="M251" s="116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6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6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6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259</v>
      </c>
      <c r="M255" s="116"/>
      <c r="N255" s="81">
        <v>190000</v>
      </c>
      <c r="X255" s="3"/>
    </row>
    <row r="256" spans="11:24" ht="14.25" customHeight="1" x14ac:dyDescent="0.25">
      <c r="K256" s="119">
        <v>46094</v>
      </c>
      <c r="L256" s="78" t="s">
        <v>158</v>
      </c>
      <c r="M256" s="116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6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6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6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6"/>
      <c r="N260" s="81">
        <v>100000</v>
      </c>
      <c r="X260" s="3"/>
    </row>
    <row r="261" spans="11:24" ht="14.25" customHeight="1" x14ac:dyDescent="0.25">
      <c r="K261" s="80">
        <v>46099</v>
      </c>
      <c r="L261" s="78" t="s">
        <v>125</v>
      </c>
      <c r="M261" s="116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6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6"/>
      <c r="N263" s="81">
        <v>108000</v>
      </c>
      <c r="Q263" s="155"/>
      <c r="X263" s="3"/>
    </row>
    <row r="264" spans="11:24" ht="14.25" customHeight="1" x14ac:dyDescent="0.25">
      <c r="K264" s="80">
        <v>46099</v>
      </c>
      <c r="L264" s="78" t="s">
        <v>251</v>
      </c>
      <c r="M264" s="116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262</v>
      </c>
      <c r="M265" s="116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6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264</v>
      </c>
      <c r="M267" s="116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265</v>
      </c>
      <c r="M268" s="116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266</v>
      </c>
      <c r="M269" s="116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255</v>
      </c>
      <c r="M270" s="116"/>
      <c r="N270" s="81">
        <v>172200</v>
      </c>
      <c r="X270" s="3"/>
    </row>
    <row r="271" spans="11:24" ht="14.25" customHeight="1" x14ac:dyDescent="0.25">
      <c r="K271" s="80">
        <v>46100</v>
      </c>
      <c r="L271" s="78" t="s">
        <v>267</v>
      </c>
      <c r="M271" s="116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6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6"/>
      <c r="N273" s="81">
        <v>356647.5</v>
      </c>
      <c r="R273" s="81"/>
      <c r="X273" s="3"/>
    </row>
    <row r="274" spans="11:24" ht="14.25" customHeight="1" x14ac:dyDescent="0.25">
      <c r="K274" s="80">
        <v>46102</v>
      </c>
      <c r="L274" s="78" t="s">
        <v>262</v>
      </c>
      <c r="M274" s="116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269</v>
      </c>
      <c r="M275" s="116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264</v>
      </c>
      <c r="M276" s="116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6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250</v>
      </c>
      <c r="M278" s="116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6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6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264</v>
      </c>
      <c r="M281" s="116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6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6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6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6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6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272</v>
      </c>
      <c r="M287" s="116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273</v>
      </c>
      <c r="M288" s="116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6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6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6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6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6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6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6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274</v>
      </c>
      <c r="M296" s="116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6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262</v>
      </c>
      <c r="M298" s="116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6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276</v>
      </c>
      <c r="M300" s="116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6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6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6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281</v>
      </c>
      <c r="M304" s="116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6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6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6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6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6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274</v>
      </c>
      <c r="M310" s="116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282</v>
      </c>
      <c r="M311" s="116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282</v>
      </c>
      <c r="M312" s="116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282</v>
      </c>
      <c r="M313" s="116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282</v>
      </c>
      <c r="M314" s="116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6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6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6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6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6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253</v>
      </c>
      <c r="M320" s="116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6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6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6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6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6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6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6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6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6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6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6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274</v>
      </c>
      <c r="M332" s="116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6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6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6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6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6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288</v>
      </c>
      <c r="M338" s="116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6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6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6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6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6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282</v>
      </c>
      <c r="M344" s="116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289</v>
      </c>
      <c r="M345" s="116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289</v>
      </c>
      <c r="M346" s="116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6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6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6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6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282</v>
      </c>
      <c r="M351" s="116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6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273</v>
      </c>
      <c r="M353" s="116"/>
      <c r="N353" s="81">
        <v>480000</v>
      </c>
      <c r="X353" s="3"/>
    </row>
    <row r="354" spans="11:24" ht="14.25" customHeight="1" x14ac:dyDescent="0.25">
      <c r="X354" s="3"/>
    </row>
    <row r="355" spans="11:24" ht="14.25" customHeight="1" x14ac:dyDescent="0.25">
      <c r="X355" s="3"/>
    </row>
    <row r="356" spans="11:24" ht="14.25" customHeight="1" x14ac:dyDescent="0.25">
      <c r="X356" s="3"/>
    </row>
    <row r="357" spans="11:24" ht="14.25" customHeight="1" x14ac:dyDescent="0.25">
      <c r="X357" s="3"/>
    </row>
    <row r="358" spans="11:24" ht="14.25" customHeight="1" x14ac:dyDescent="0.25">
      <c r="X358" s="3"/>
    </row>
    <row r="359" spans="11:24" ht="14.25" customHeight="1" x14ac:dyDescent="0.25">
      <c r="X359" s="3"/>
    </row>
    <row r="360" spans="11:24" ht="14.25" customHeight="1" x14ac:dyDescent="0.25">
      <c r="X360" s="3"/>
    </row>
    <row r="361" spans="11:24" ht="14.25" customHeight="1" x14ac:dyDescent="0.25">
      <c r="X361" s="3"/>
    </row>
    <row r="362" spans="11:24" ht="14.25" customHeight="1" x14ac:dyDescent="0.25">
      <c r="X362" s="3"/>
    </row>
    <row r="363" spans="11:24" ht="14.25" customHeight="1" x14ac:dyDescent="0.25">
      <c r="X363" s="3"/>
    </row>
    <row r="364" spans="11:24" ht="14.25" customHeight="1" x14ac:dyDescent="0.25">
      <c r="X364" s="3"/>
    </row>
    <row r="365" spans="11:24" ht="14.25" customHeight="1" x14ac:dyDescent="0.25">
      <c r="X365" s="3"/>
    </row>
    <row r="366" spans="11:24" ht="14.25" customHeight="1" x14ac:dyDescent="0.25">
      <c r="X366" s="3"/>
    </row>
    <row r="367" spans="11:24" ht="14.25" customHeight="1" x14ac:dyDescent="0.25">
      <c r="X367" s="3"/>
    </row>
    <row r="368" spans="11:24" ht="14.25" customHeight="1" x14ac:dyDescent="0.25">
      <c r="X368" s="3"/>
    </row>
    <row r="369" spans="24:24" ht="14.25" customHeight="1" x14ac:dyDescent="0.25">
      <c r="X369" s="3"/>
    </row>
    <row r="370" spans="24:24" ht="14.25" customHeight="1" x14ac:dyDescent="0.25">
      <c r="X370" s="3"/>
    </row>
    <row r="371" spans="24:24" ht="14.25" customHeight="1" x14ac:dyDescent="0.25">
      <c r="X371" s="3"/>
    </row>
    <row r="372" spans="24:24" ht="14.25" customHeight="1" x14ac:dyDescent="0.25">
      <c r="X372" s="3"/>
    </row>
    <row r="373" spans="24:24" ht="14.25" customHeight="1" x14ac:dyDescent="0.25">
      <c r="X373" s="3"/>
    </row>
    <row r="374" spans="24:24" ht="14.25" customHeight="1" x14ac:dyDescent="0.25">
      <c r="X374" s="3"/>
    </row>
    <row r="375" spans="24:24" ht="14.25" customHeight="1" x14ac:dyDescent="0.25">
      <c r="X375" s="3"/>
    </row>
    <row r="376" spans="24:24" ht="14.25" customHeight="1" x14ac:dyDescent="0.25">
      <c r="X376" s="3"/>
    </row>
    <row r="377" spans="24:24" ht="14.25" customHeight="1" x14ac:dyDescent="0.25">
      <c r="X377" s="3"/>
    </row>
    <row r="378" spans="24:24" ht="14.25" customHeight="1" x14ac:dyDescent="0.25">
      <c r="X378" s="3"/>
    </row>
    <row r="379" spans="24:24" ht="14.25" customHeight="1" x14ac:dyDescent="0.25">
      <c r="X379" s="3"/>
    </row>
    <row r="380" spans="24:24" ht="14.25" customHeight="1" x14ac:dyDescent="0.25">
      <c r="X380" s="3"/>
    </row>
    <row r="381" spans="24:24" ht="14.25" customHeight="1" x14ac:dyDescent="0.25">
      <c r="X381" s="3"/>
    </row>
    <row r="382" spans="24:24" ht="14.25" customHeight="1" x14ac:dyDescent="0.25">
      <c r="X382" s="3"/>
    </row>
    <row r="383" spans="24:24" ht="14.25" customHeight="1" x14ac:dyDescent="0.25">
      <c r="X383" s="3"/>
    </row>
    <row r="384" spans="24:24" ht="14.25" customHeight="1" x14ac:dyDescent="0.25">
      <c r="X384" s="3"/>
    </row>
    <row r="385" spans="11:24" ht="14.25" customHeight="1" x14ac:dyDescent="0.25">
      <c r="X385" s="3"/>
    </row>
    <row r="386" spans="11:24" ht="14.25" customHeight="1" x14ac:dyDescent="0.25">
      <c r="X386" s="3"/>
    </row>
    <row r="387" spans="11:24" ht="14.25" customHeight="1" x14ac:dyDescent="0.25">
      <c r="X387" s="3"/>
    </row>
    <row r="388" spans="11:24" ht="14.25" customHeight="1" x14ac:dyDescent="0.25">
      <c r="X388" s="3"/>
    </row>
    <row r="389" spans="11:24" ht="14.25" customHeight="1" x14ac:dyDescent="0.25">
      <c r="X389" s="3"/>
    </row>
    <row r="390" spans="11:24" ht="14.25" customHeight="1" x14ac:dyDescent="0.25">
      <c r="X390" s="3"/>
    </row>
    <row r="391" spans="11:24" ht="14.25" customHeight="1" x14ac:dyDescent="0.25">
      <c r="X391" s="3"/>
    </row>
    <row r="392" spans="11:24" ht="14.25" customHeight="1" x14ac:dyDescent="0.25">
      <c r="X392" s="3"/>
    </row>
    <row r="393" spans="11:24" ht="14.25" customHeight="1" x14ac:dyDescent="0.25">
      <c r="X393" s="3"/>
    </row>
    <row r="394" spans="11:24" ht="14.25" customHeight="1" x14ac:dyDescent="0.25">
      <c r="X394" s="3"/>
    </row>
    <row r="395" spans="11:24" ht="14.25" customHeight="1" x14ac:dyDescent="0.25">
      <c r="X395" s="3"/>
    </row>
    <row r="396" spans="11:24" ht="14.25" customHeight="1" x14ac:dyDescent="0.25">
      <c r="X396" s="3"/>
    </row>
    <row r="397" spans="11:24" ht="14.25" customHeight="1" x14ac:dyDescent="0.25">
      <c r="X397" s="3"/>
    </row>
    <row r="398" spans="11:24" ht="14.25" customHeight="1" x14ac:dyDescent="0.25">
      <c r="K398" s="78" t="s">
        <v>227</v>
      </c>
      <c r="X398" s="3"/>
    </row>
    <row r="399" spans="11:24" ht="14.25" customHeight="1" x14ac:dyDescent="0.25">
      <c r="K399" s="114">
        <v>0.39444444444444443</v>
      </c>
      <c r="L399" s="114">
        <v>0.40763888888888888</v>
      </c>
      <c r="M399" s="114"/>
      <c r="X399" s="3"/>
    </row>
    <row r="400" spans="11:24" ht="14.25" customHeight="1" x14ac:dyDescent="0.25">
      <c r="K400" s="114">
        <f>+L399-K399</f>
        <v>1.3194444444444453E-2</v>
      </c>
      <c r="X400" s="3"/>
    </row>
    <row r="401" spans="11:24" ht="14.25" customHeight="1" x14ac:dyDescent="0.25">
      <c r="X401" s="3"/>
    </row>
    <row r="402" spans="11:24" ht="14.25" customHeight="1" x14ac:dyDescent="0.25">
      <c r="K402" s="114">
        <v>0.625</v>
      </c>
      <c r="L402" s="114">
        <v>0.63888888888888884</v>
      </c>
      <c r="M402" s="114"/>
      <c r="X402" s="3"/>
    </row>
    <row r="403" spans="11:24" ht="14.25" customHeight="1" x14ac:dyDescent="0.25">
      <c r="K403" s="114">
        <f>+L402-K402</f>
        <v>1.388888888888884E-2</v>
      </c>
      <c r="X403" s="3"/>
    </row>
    <row r="404" spans="11:24" ht="14.25" customHeight="1" x14ac:dyDescent="0.25">
      <c r="X404" s="3"/>
    </row>
    <row r="405" spans="11:24" ht="14.25" customHeight="1" x14ac:dyDescent="0.25">
      <c r="X405" s="3"/>
    </row>
    <row r="406" spans="11:24" ht="14.25" customHeight="1" x14ac:dyDescent="0.25">
      <c r="X406" s="3"/>
    </row>
    <row r="407" spans="11:24" ht="14.25" customHeight="1" x14ac:dyDescent="0.25">
      <c r="X407" s="3"/>
    </row>
    <row r="408" spans="11:24" ht="14.25" customHeight="1" x14ac:dyDescent="0.25">
      <c r="X408" s="3"/>
    </row>
    <row r="409" spans="11:24" ht="14.25" customHeight="1" x14ac:dyDescent="0.25">
      <c r="X409" s="3"/>
    </row>
    <row r="410" spans="11:24" ht="14.25" customHeight="1" x14ac:dyDescent="0.25">
      <c r="X410" s="3"/>
    </row>
    <row r="411" spans="11:24" ht="14.25" customHeight="1" x14ac:dyDescent="0.25">
      <c r="X411" s="3"/>
    </row>
    <row r="412" spans="11:24" ht="14.25" customHeight="1" x14ac:dyDescent="0.25"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count="1">
    <dataValidation type="list" allowBlank="1" showInputMessage="1" showErrorMessage="1" sqref="R3:R226 M3:M353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81"/>
  <sheetViews>
    <sheetView topLeftCell="A132" workbookViewId="0">
      <selection activeCell="E146" sqref="E146"/>
    </sheetView>
  </sheetViews>
  <sheetFormatPr baseColWidth="10" defaultRowHeight="15" x14ac:dyDescent="0.25"/>
  <cols>
    <col min="1" max="1" width="10.7109375" bestFit="1" customWidth="1"/>
    <col min="2" max="2" width="11.42578125" bestFit="1" customWidth="1"/>
    <col min="3" max="3" width="14.85546875" bestFit="1" customWidth="1"/>
    <col min="5" max="5" width="8.140625" bestFit="1" customWidth="1"/>
    <col min="6" max="6" width="7.7109375" bestFit="1" customWidth="1"/>
    <col min="7" max="7" width="14.85546875" bestFit="1" customWidth="1"/>
  </cols>
  <sheetData>
    <row r="1" spans="1:7" ht="15.75" thickBot="1" x14ac:dyDescent="0.3">
      <c r="A1" s="175" t="s">
        <v>84</v>
      </c>
      <c r="B1" s="176"/>
      <c r="C1" s="177"/>
      <c r="E1" s="175" t="s">
        <v>84</v>
      </c>
      <c r="F1" s="176"/>
      <c r="G1" s="177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9">
        <v>45968</v>
      </c>
      <c r="B3" s="1" t="s">
        <v>84</v>
      </c>
      <c r="C3" s="87">
        <v>345000</v>
      </c>
      <c r="E3" s="158">
        <v>45968</v>
      </c>
      <c r="F3" s="70" t="s">
        <v>185</v>
      </c>
      <c r="G3" s="88">
        <f>+SUMIFS(Sueldos[Valor],Sueldos[Fecha],Sueldos2[[#This Row],[Fecha]])</f>
        <v>1841375</v>
      </c>
    </row>
    <row r="4" spans="1:7" x14ac:dyDescent="0.25">
      <c r="A4" s="159">
        <v>45968</v>
      </c>
      <c r="B4" s="1" t="s">
        <v>84</v>
      </c>
      <c r="C4" s="87">
        <v>227000</v>
      </c>
      <c r="E4" s="158">
        <v>45975</v>
      </c>
      <c r="F4" s="70" t="s">
        <v>185</v>
      </c>
      <c r="G4" s="88">
        <f>+SUMIFS(Sueldos[Valor],Sueldos[Fecha],Sueldos2[[#This Row],[Fecha]])</f>
        <v>3006390</v>
      </c>
    </row>
    <row r="5" spans="1:7" x14ac:dyDescent="0.25">
      <c r="A5" s="159">
        <v>45968</v>
      </c>
      <c r="B5" s="1" t="s">
        <v>84</v>
      </c>
      <c r="C5" s="87">
        <v>278125</v>
      </c>
      <c r="E5" s="158">
        <v>45982</v>
      </c>
      <c r="F5" s="70" t="s">
        <v>185</v>
      </c>
      <c r="G5" s="88">
        <f>+SUMIFS(Sueldos[Valor],Sueldos[Fecha],Sueldos2[[#This Row],[Fecha]])</f>
        <v>1583969</v>
      </c>
    </row>
    <row r="6" spans="1:7" x14ac:dyDescent="0.25">
      <c r="A6" s="159">
        <v>45968</v>
      </c>
      <c r="B6" s="1" t="s">
        <v>84</v>
      </c>
      <c r="C6" s="87">
        <v>280000</v>
      </c>
      <c r="E6" s="158">
        <v>45989</v>
      </c>
      <c r="F6" s="70" t="s">
        <v>185</v>
      </c>
      <c r="G6" s="88">
        <f>+SUMIFS(Sueldos[Valor],Sueldos[Fecha],Sueldos2[[#This Row],[Fecha]])</f>
        <v>2658200</v>
      </c>
    </row>
    <row r="7" spans="1:7" x14ac:dyDescent="0.25">
      <c r="A7" s="159">
        <v>45968</v>
      </c>
      <c r="B7" s="1" t="s">
        <v>84</v>
      </c>
      <c r="C7" s="87">
        <v>125000</v>
      </c>
      <c r="E7" s="158">
        <v>45996</v>
      </c>
      <c r="F7" s="70" t="s">
        <v>185</v>
      </c>
      <c r="G7" s="88">
        <f>+SUMIFS(Sueldos[Valor],Sueldos[Fecha],Sueldos2[[#This Row],[Fecha]])</f>
        <v>2738875</v>
      </c>
    </row>
    <row r="8" spans="1:7" x14ac:dyDescent="0.25">
      <c r="A8" s="159">
        <v>45968</v>
      </c>
      <c r="B8" s="1" t="s">
        <v>84</v>
      </c>
      <c r="C8" s="87">
        <v>270000</v>
      </c>
      <c r="E8" s="158">
        <v>46003</v>
      </c>
      <c r="F8" s="70" t="s">
        <v>185</v>
      </c>
      <c r="G8" s="88">
        <f>+SUMIFS(Sueldos[Valor],Sueldos[Fecha],Sueldos2[[#This Row],[Fecha]])</f>
        <v>3076473</v>
      </c>
    </row>
    <row r="9" spans="1:7" x14ac:dyDescent="0.25">
      <c r="A9" s="159">
        <v>45968</v>
      </c>
      <c r="B9" s="1" t="s">
        <v>84</v>
      </c>
      <c r="C9" s="87">
        <v>316250</v>
      </c>
      <c r="E9" s="158">
        <v>46010</v>
      </c>
      <c r="F9" s="70" t="s">
        <v>185</v>
      </c>
      <c r="G9" s="88">
        <f>+SUMIFS(Sueldos[Valor],Sueldos[Fecha],Sueldos2[[#This Row],[Fecha]])</f>
        <v>2881798.99</v>
      </c>
    </row>
    <row r="10" spans="1:7" x14ac:dyDescent="0.25">
      <c r="A10" s="159">
        <v>45975</v>
      </c>
      <c r="B10" s="1" t="s">
        <v>84</v>
      </c>
      <c r="C10" s="87">
        <v>300000</v>
      </c>
      <c r="E10" s="158">
        <v>46017</v>
      </c>
      <c r="F10" s="70" t="s">
        <v>185</v>
      </c>
      <c r="G10" s="88">
        <f>+SUMIFS(Sueldos[Valor],Sueldos[Fecha],Sueldos2[[#This Row],[Fecha]])</f>
        <v>2478250</v>
      </c>
    </row>
    <row r="11" spans="1:7" x14ac:dyDescent="0.25">
      <c r="A11" s="159">
        <v>45975</v>
      </c>
      <c r="B11" s="1" t="s">
        <v>84</v>
      </c>
      <c r="C11" s="87">
        <v>280000</v>
      </c>
      <c r="E11" s="158">
        <v>46024</v>
      </c>
      <c r="F11" s="70" t="s">
        <v>185</v>
      </c>
      <c r="G11" s="88">
        <f>+SUMIFS(Sueldos[Valor],Sueldos[Fecha],Sueldos2[[#This Row],[Fecha]])</f>
        <v>990828</v>
      </c>
    </row>
    <row r="12" spans="1:7" x14ac:dyDescent="0.25">
      <c r="A12" s="159">
        <v>45975</v>
      </c>
      <c r="B12" s="1" t="s">
        <v>84</v>
      </c>
      <c r="C12" s="87">
        <v>256000</v>
      </c>
      <c r="E12" s="158">
        <v>46031</v>
      </c>
      <c r="F12" s="70" t="s">
        <v>185</v>
      </c>
      <c r="G12" s="88">
        <f>+SUMIFS(Sueldos[Valor],Sueldos[Fecha],Sueldos2[[#This Row],[Fecha]])</f>
        <v>3061246.625</v>
      </c>
    </row>
    <row r="13" spans="1:7" x14ac:dyDescent="0.25">
      <c r="A13" s="159">
        <v>45975</v>
      </c>
      <c r="B13" s="1" t="s">
        <v>84</v>
      </c>
      <c r="C13" s="87">
        <v>747500</v>
      </c>
      <c r="E13" s="158">
        <v>46038</v>
      </c>
      <c r="F13" s="70" t="s">
        <v>185</v>
      </c>
      <c r="G13" s="88">
        <f>+SUMIFS(Sueldos[Valor],Sueldos[Fecha],Sueldos2[[#This Row],[Fecha]])</f>
        <v>1716048</v>
      </c>
    </row>
    <row r="14" spans="1:7" x14ac:dyDescent="0.25">
      <c r="A14" s="159">
        <v>45975</v>
      </c>
      <c r="B14" s="1" t="s">
        <v>84</v>
      </c>
      <c r="C14" s="87">
        <v>275000</v>
      </c>
      <c r="E14" s="158">
        <v>46045</v>
      </c>
      <c r="F14" s="70" t="s">
        <v>185</v>
      </c>
      <c r="G14" s="88">
        <f>+SUMIFS(Sueldos[Valor],Sueldos[Fecha],Sueldos2[[#This Row],[Fecha]])</f>
        <v>2906990.2199999997</v>
      </c>
    </row>
    <row r="15" spans="1:7" x14ac:dyDescent="0.25">
      <c r="A15" s="159">
        <v>45975</v>
      </c>
      <c r="B15" s="1" t="s">
        <v>84</v>
      </c>
      <c r="C15" s="87">
        <v>268750</v>
      </c>
      <c r="E15" s="158">
        <v>46052</v>
      </c>
      <c r="F15" s="70"/>
      <c r="G15" s="88">
        <f>+SUMIFS(Sueldos[Valor],Sueldos[Fecha],Sueldos2[[#This Row],[Fecha]])</f>
        <v>2798682</v>
      </c>
    </row>
    <row r="16" spans="1:7" x14ac:dyDescent="0.25">
      <c r="A16" s="159">
        <v>45975</v>
      </c>
      <c r="B16" s="1" t="s">
        <v>84</v>
      </c>
      <c r="C16" s="87">
        <v>125000</v>
      </c>
      <c r="E16" s="158">
        <v>46059</v>
      </c>
      <c r="F16" s="70"/>
      <c r="G16" s="88">
        <f>+SUMIFS(Sueldos[Valor],Sueldos[Fecha],Sueldos2[[#This Row],[Fecha]])</f>
        <v>2995483</v>
      </c>
    </row>
    <row r="17" spans="1:7" x14ac:dyDescent="0.25">
      <c r="A17" s="159">
        <v>45975</v>
      </c>
      <c r="B17" s="1" t="s">
        <v>84</v>
      </c>
      <c r="C17" s="87">
        <v>180000</v>
      </c>
      <c r="E17" s="158">
        <v>46066</v>
      </c>
      <c r="F17" s="70"/>
      <c r="G17" s="88">
        <f>+SUMIFS(Sueldos[Valor],Sueldos[Fecha],Sueldos2[[#This Row],[Fecha]])</f>
        <v>2437000</v>
      </c>
    </row>
    <row r="18" spans="1:7" x14ac:dyDescent="0.25">
      <c r="A18" s="159">
        <v>45975</v>
      </c>
      <c r="B18" s="1" t="s">
        <v>84</v>
      </c>
      <c r="C18" s="87">
        <v>574140</v>
      </c>
      <c r="E18" s="158">
        <v>46073</v>
      </c>
      <c r="F18" s="70"/>
      <c r="G18" s="88">
        <f>+SUMIFS(Sueldos[Valor],Sueldos[Fecha],Sueldos2[[#This Row],[Fecha]])</f>
        <v>2323000</v>
      </c>
    </row>
    <row r="19" spans="1:7" x14ac:dyDescent="0.25">
      <c r="A19" s="159">
        <v>45982</v>
      </c>
      <c r="B19" s="1" t="s">
        <v>84</v>
      </c>
      <c r="C19" s="87">
        <v>300000</v>
      </c>
      <c r="E19" s="158">
        <v>46080</v>
      </c>
      <c r="F19" s="70"/>
      <c r="G19" s="88">
        <f>+SUMIFS(Sueldos[Valor],Sueldos[Fecha],Sueldos2[[#This Row],[Fecha]])</f>
        <v>1862114.91</v>
      </c>
    </row>
    <row r="20" spans="1:7" x14ac:dyDescent="0.25">
      <c r="A20" s="159">
        <v>45982</v>
      </c>
      <c r="B20" s="1" t="s">
        <v>84</v>
      </c>
      <c r="C20" s="87">
        <v>206000</v>
      </c>
      <c r="E20" s="158">
        <v>46087</v>
      </c>
      <c r="F20" s="70"/>
      <c r="G20" s="88">
        <f>+SUMIFS(Sueldos[Valor],Sueldos[Fecha],Sueldos2[[#This Row],[Fecha]])</f>
        <v>3044856</v>
      </c>
    </row>
    <row r="21" spans="1:7" x14ac:dyDescent="0.25">
      <c r="A21" s="159">
        <v>45982</v>
      </c>
      <c r="B21" s="1" t="s">
        <v>84</v>
      </c>
      <c r="C21" s="87">
        <v>312969</v>
      </c>
      <c r="E21" s="158">
        <v>46094</v>
      </c>
      <c r="F21" s="70"/>
      <c r="G21" s="88">
        <f>+SUMIFS(Sueldos[Valor],Sueldos[Fecha],Sueldos2[[#This Row],[Fecha]])</f>
        <v>2263392.61</v>
      </c>
    </row>
    <row r="22" spans="1:7" x14ac:dyDescent="0.25">
      <c r="A22" s="159">
        <v>45982</v>
      </c>
      <c r="B22" s="1" t="s">
        <v>84</v>
      </c>
      <c r="C22" s="87">
        <v>280000</v>
      </c>
      <c r="E22" s="158">
        <v>46101</v>
      </c>
      <c r="F22" s="70"/>
      <c r="G22" s="88">
        <f>+SUMIFS(Sueldos[Valor],Sueldos[Fecha],Sueldos2[[#This Row],[Fecha]])</f>
        <v>3402313</v>
      </c>
    </row>
    <row r="23" spans="1:7" x14ac:dyDescent="0.25">
      <c r="A23" s="159">
        <v>45982</v>
      </c>
      <c r="B23" s="1" t="s">
        <v>84</v>
      </c>
      <c r="C23" s="87">
        <v>180000</v>
      </c>
      <c r="E23" s="158">
        <v>46108</v>
      </c>
      <c r="F23" s="70"/>
      <c r="G23" s="88">
        <f>+SUMIFS(Sueldos[Valor],Sueldos[Fecha],Sueldos2[[#This Row],[Fecha]])</f>
        <v>1931815</v>
      </c>
    </row>
    <row r="24" spans="1:7" x14ac:dyDescent="0.25">
      <c r="A24" s="159">
        <v>45982</v>
      </c>
      <c r="B24" s="1" t="s">
        <v>84</v>
      </c>
      <c r="C24" s="87">
        <v>305000</v>
      </c>
      <c r="E24" s="158">
        <v>46113</v>
      </c>
      <c r="F24" s="70"/>
      <c r="G24" s="88">
        <f>+SUMIFS(Sueldos[Valor],Sueldos[Fecha],Sueldos2[[#This Row],[Fecha]])</f>
        <v>3261850</v>
      </c>
    </row>
    <row r="25" spans="1:7" x14ac:dyDescent="0.25">
      <c r="A25" s="159">
        <v>45989</v>
      </c>
      <c r="B25" s="1" t="s">
        <v>84</v>
      </c>
      <c r="C25" s="87">
        <v>300000</v>
      </c>
      <c r="E25" s="158">
        <v>46122</v>
      </c>
      <c r="F25" s="70"/>
      <c r="G25" s="88">
        <f>+SUMIFS(Sueldos[Valor],Sueldos[Fecha],Sueldos2[[#This Row],[Fecha]])</f>
        <v>1740000</v>
      </c>
    </row>
    <row r="26" spans="1:7" x14ac:dyDescent="0.25">
      <c r="A26" s="159">
        <v>45989</v>
      </c>
      <c r="B26" s="1" t="s">
        <v>84</v>
      </c>
      <c r="C26" s="87">
        <v>280000</v>
      </c>
      <c r="E26" s="158">
        <v>46129</v>
      </c>
      <c r="F26" s="70" t="s">
        <v>185</v>
      </c>
      <c r="G26" s="88">
        <f>+SUMIFS(Sueldos[Valor],Sueldos[Fecha],Sueldos2[[#This Row],[Fecha]])</f>
        <v>3468465</v>
      </c>
    </row>
    <row r="27" spans="1:7" x14ac:dyDescent="0.25">
      <c r="A27" s="159">
        <v>45989</v>
      </c>
      <c r="B27" s="1" t="s">
        <v>84</v>
      </c>
      <c r="C27" s="87">
        <v>186700</v>
      </c>
    </row>
    <row r="28" spans="1:7" x14ac:dyDescent="0.25">
      <c r="A28" s="159">
        <v>45989</v>
      </c>
      <c r="B28" s="1" t="s">
        <v>84</v>
      </c>
      <c r="C28" s="87">
        <v>564000</v>
      </c>
    </row>
    <row r="29" spans="1:7" x14ac:dyDescent="0.25">
      <c r="A29" s="159">
        <v>45989</v>
      </c>
      <c r="B29" s="1" t="s">
        <v>84</v>
      </c>
      <c r="C29" s="87">
        <v>320000</v>
      </c>
    </row>
    <row r="30" spans="1:7" x14ac:dyDescent="0.25">
      <c r="A30" s="159">
        <v>45989</v>
      </c>
      <c r="B30" s="1" t="s">
        <v>84</v>
      </c>
      <c r="C30" s="87">
        <v>252500</v>
      </c>
    </row>
    <row r="31" spans="1:7" x14ac:dyDescent="0.25">
      <c r="A31" s="159">
        <v>45989</v>
      </c>
      <c r="B31" s="1" t="s">
        <v>84</v>
      </c>
      <c r="C31" s="87">
        <v>180000</v>
      </c>
    </row>
    <row r="32" spans="1:7" x14ac:dyDescent="0.25">
      <c r="A32" s="159">
        <v>45989</v>
      </c>
      <c r="B32" s="1" t="s">
        <v>84</v>
      </c>
      <c r="C32" s="87">
        <v>575000</v>
      </c>
    </row>
    <row r="33" spans="1:3" x14ac:dyDescent="0.25">
      <c r="A33" s="159">
        <v>45996</v>
      </c>
      <c r="B33" s="1" t="s">
        <v>84</v>
      </c>
      <c r="C33" s="87">
        <v>1500000</v>
      </c>
    </row>
    <row r="34" spans="1:3" x14ac:dyDescent="0.25">
      <c r="A34" s="159">
        <v>45996</v>
      </c>
      <c r="B34" s="1" t="s">
        <v>84</v>
      </c>
      <c r="C34" s="87">
        <v>204000</v>
      </c>
    </row>
    <row r="35" spans="1:3" x14ac:dyDescent="0.25">
      <c r="A35" s="159">
        <v>45996</v>
      </c>
      <c r="B35" s="1" t="s">
        <v>84</v>
      </c>
      <c r="C35" s="87">
        <v>287500</v>
      </c>
    </row>
    <row r="36" spans="1:3" x14ac:dyDescent="0.25">
      <c r="A36" s="159">
        <v>45996</v>
      </c>
      <c r="B36" s="1" t="s">
        <v>84</v>
      </c>
      <c r="C36" s="87">
        <v>280000</v>
      </c>
    </row>
    <row r="37" spans="1:3" x14ac:dyDescent="0.25">
      <c r="A37" s="159">
        <v>45996</v>
      </c>
      <c r="B37" s="1" t="s">
        <v>84</v>
      </c>
      <c r="C37" s="87">
        <v>180000</v>
      </c>
    </row>
    <row r="38" spans="1:3" x14ac:dyDescent="0.25">
      <c r="A38" s="159">
        <v>45996</v>
      </c>
      <c r="B38" s="1" t="s">
        <v>84</v>
      </c>
      <c r="C38" s="87">
        <v>287375</v>
      </c>
    </row>
    <row r="39" spans="1:3" x14ac:dyDescent="0.25">
      <c r="A39" s="159">
        <v>46003</v>
      </c>
      <c r="B39" s="1" t="s">
        <v>84</v>
      </c>
      <c r="C39" s="87">
        <v>280000</v>
      </c>
    </row>
    <row r="40" spans="1:3" x14ac:dyDescent="0.25">
      <c r="A40" s="159">
        <v>46003</v>
      </c>
      <c r="B40" s="1" t="s">
        <v>84</v>
      </c>
      <c r="C40" s="87">
        <v>200000</v>
      </c>
    </row>
    <row r="41" spans="1:3" x14ac:dyDescent="0.25">
      <c r="A41" s="159">
        <v>46003</v>
      </c>
      <c r="B41" s="1" t="s">
        <v>84</v>
      </c>
      <c r="C41" s="87">
        <v>662379</v>
      </c>
    </row>
    <row r="42" spans="1:3" x14ac:dyDescent="0.25">
      <c r="A42" s="159">
        <v>46003</v>
      </c>
      <c r="B42" s="1" t="s">
        <v>84</v>
      </c>
      <c r="C42" s="87">
        <v>386594</v>
      </c>
    </row>
    <row r="43" spans="1:3" x14ac:dyDescent="0.25">
      <c r="A43" s="159">
        <v>46003</v>
      </c>
      <c r="B43" s="1" t="s">
        <v>84</v>
      </c>
      <c r="C43" s="87">
        <v>792500</v>
      </c>
    </row>
    <row r="44" spans="1:3" x14ac:dyDescent="0.25">
      <c r="A44" s="159">
        <v>46003</v>
      </c>
      <c r="B44" s="1" t="s">
        <v>84</v>
      </c>
      <c r="C44" s="87">
        <v>180000</v>
      </c>
    </row>
    <row r="45" spans="1:3" x14ac:dyDescent="0.25">
      <c r="A45" s="159">
        <v>46003</v>
      </c>
      <c r="B45" s="1" t="s">
        <v>84</v>
      </c>
      <c r="C45" s="87">
        <v>575000</v>
      </c>
    </row>
    <row r="46" spans="1:3" x14ac:dyDescent="0.25">
      <c r="A46" s="159">
        <v>46010</v>
      </c>
      <c r="B46" s="1" t="s">
        <v>84</v>
      </c>
      <c r="C46" s="87">
        <v>174000</v>
      </c>
    </row>
    <row r="47" spans="1:3" x14ac:dyDescent="0.25">
      <c r="A47" s="159">
        <v>46010</v>
      </c>
      <c r="B47" s="1" t="s">
        <v>84</v>
      </c>
      <c r="C47" s="87">
        <v>750000</v>
      </c>
    </row>
    <row r="48" spans="1:3" x14ac:dyDescent="0.25">
      <c r="A48" s="159">
        <v>46010</v>
      </c>
      <c r="B48" s="1" t="s">
        <v>84</v>
      </c>
      <c r="C48" s="87">
        <v>232330</v>
      </c>
    </row>
    <row r="49" spans="1:3" x14ac:dyDescent="0.25">
      <c r="A49" s="159">
        <v>46010</v>
      </c>
      <c r="B49" s="1" t="s">
        <v>84</v>
      </c>
      <c r="C49" s="87">
        <v>649999.99</v>
      </c>
    </row>
    <row r="50" spans="1:3" x14ac:dyDescent="0.25">
      <c r="A50" s="159">
        <v>46010</v>
      </c>
      <c r="B50" s="1" t="s">
        <v>84</v>
      </c>
      <c r="C50" s="87">
        <v>180000</v>
      </c>
    </row>
    <row r="51" spans="1:3" x14ac:dyDescent="0.25">
      <c r="A51" s="159">
        <v>46010</v>
      </c>
      <c r="B51" s="1" t="s">
        <v>84</v>
      </c>
      <c r="C51" s="87">
        <v>895469</v>
      </c>
    </row>
    <row r="52" spans="1:3" x14ac:dyDescent="0.25">
      <c r="A52" s="159">
        <v>46017</v>
      </c>
      <c r="B52" s="1" t="s">
        <v>84</v>
      </c>
      <c r="C52" s="87">
        <v>315000</v>
      </c>
    </row>
    <row r="53" spans="1:3" x14ac:dyDescent="0.25">
      <c r="A53" s="159">
        <v>46017</v>
      </c>
      <c r="B53" s="1" t="s">
        <v>84</v>
      </c>
      <c r="C53" s="87">
        <v>840000</v>
      </c>
    </row>
    <row r="54" spans="1:3" x14ac:dyDescent="0.25">
      <c r="A54" s="159">
        <v>46017</v>
      </c>
      <c r="B54" s="1" t="s">
        <v>84</v>
      </c>
      <c r="C54" s="87">
        <v>130000</v>
      </c>
    </row>
    <row r="55" spans="1:3" x14ac:dyDescent="0.25">
      <c r="A55" s="159">
        <v>46017</v>
      </c>
      <c r="B55" s="1" t="s">
        <v>84</v>
      </c>
      <c r="C55" s="87">
        <v>664500</v>
      </c>
    </row>
    <row r="56" spans="1:3" x14ac:dyDescent="0.25">
      <c r="A56" s="159">
        <v>46017</v>
      </c>
      <c r="B56" s="1" t="s">
        <v>84</v>
      </c>
      <c r="C56" s="87">
        <v>288750</v>
      </c>
    </row>
    <row r="57" spans="1:3" x14ac:dyDescent="0.25">
      <c r="A57" s="159">
        <v>46017</v>
      </c>
      <c r="B57" s="1" t="s">
        <v>84</v>
      </c>
      <c r="C57" s="87">
        <v>90000</v>
      </c>
    </row>
    <row r="58" spans="1:3" x14ac:dyDescent="0.25">
      <c r="A58" s="159">
        <v>46017</v>
      </c>
      <c r="B58" s="1" t="s">
        <v>84</v>
      </c>
      <c r="C58" s="87">
        <v>150000</v>
      </c>
    </row>
    <row r="59" spans="1:3" x14ac:dyDescent="0.25">
      <c r="A59" s="159">
        <v>46024</v>
      </c>
      <c r="B59" s="1" t="s">
        <v>84</v>
      </c>
      <c r="C59" s="87">
        <v>300000</v>
      </c>
    </row>
    <row r="60" spans="1:3" x14ac:dyDescent="0.25">
      <c r="A60" s="159">
        <v>46024</v>
      </c>
      <c r="B60" s="1" t="s">
        <v>84</v>
      </c>
      <c r="C60" s="87">
        <v>125000</v>
      </c>
    </row>
    <row r="61" spans="1:3" x14ac:dyDescent="0.25">
      <c r="A61" s="159">
        <v>46024</v>
      </c>
      <c r="B61" s="1" t="s">
        <v>84</v>
      </c>
      <c r="C61" s="87">
        <v>280000</v>
      </c>
    </row>
    <row r="62" spans="1:3" x14ac:dyDescent="0.25">
      <c r="A62" s="159">
        <v>46024</v>
      </c>
      <c r="B62" s="1" t="s">
        <v>84</v>
      </c>
      <c r="C62" s="87">
        <v>285828</v>
      </c>
    </row>
    <row r="63" spans="1:3" x14ac:dyDescent="0.25">
      <c r="A63" s="159">
        <v>46031</v>
      </c>
      <c r="B63" s="1" t="s">
        <v>84</v>
      </c>
      <c r="C63" s="87">
        <v>300000</v>
      </c>
    </row>
    <row r="64" spans="1:3" x14ac:dyDescent="0.25">
      <c r="A64" s="159">
        <v>46031</v>
      </c>
      <c r="B64" s="1" t="s">
        <v>84</v>
      </c>
      <c r="C64" s="87">
        <v>280000</v>
      </c>
    </row>
    <row r="65" spans="1:3" x14ac:dyDescent="0.25">
      <c r="A65" s="159">
        <v>46031</v>
      </c>
      <c r="B65" s="1" t="s">
        <v>84</v>
      </c>
      <c r="C65" s="87">
        <v>163000</v>
      </c>
    </row>
    <row r="66" spans="1:3" x14ac:dyDescent="0.25">
      <c r="A66" s="159">
        <v>46031</v>
      </c>
      <c r="B66" s="1" t="s">
        <v>84</v>
      </c>
      <c r="C66" s="87">
        <v>728390.625</v>
      </c>
    </row>
    <row r="67" spans="1:3" x14ac:dyDescent="0.25">
      <c r="A67" s="159">
        <v>46031</v>
      </c>
      <c r="B67" s="1" t="s">
        <v>84</v>
      </c>
      <c r="C67" s="87">
        <v>274856</v>
      </c>
    </row>
    <row r="68" spans="1:3" x14ac:dyDescent="0.25">
      <c r="A68" s="159">
        <v>46031</v>
      </c>
      <c r="B68" s="1" t="s">
        <v>84</v>
      </c>
      <c r="C68" s="87">
        <v>250000</v>
      </c>
    </row>
    <row r="69" spans="1:3" x14ac:dyDescent="0.25">
      <c r="A69" s="159">
        <v>46031</v>
      </c>
      <c r="B69" s="1" t="s">
        <v>84</v>
      </c>
      <c r="C69" s="87">
        <v>180000</v>
      </c>
    </row>
    <row r="70" spans="1:3" x14ac:dyDescent="0.25">
      <c r="A70" s="159">
        <v>46031</v>
      </c>
      <c r="B70" s="1" t="s">
        <v>84</v>
      </c>
      <c r="C70" s="87">
        <v>160000</v>
      </c>
    </row>
    <row r="71" spans="1:3" x14ac:dyDescent="0.25">
      <c r="A71" s="159">
        <v>46031</v>
      </c>
      <c r="B71" s="1" t="s">
        <v>84</v>
      </c>
      <c r="C71" s="87">
        <v>725000</v>
      </c>
    </row>
    <row r="72" spans="1:3" x14ac:dyDescent="0.25">
      <c r="A72" s="159">
        <v>46038</v>
      </c>
      <c r="B72" s="1" t="s">
        <v>84</v>
      </c>
      <c r="C72" s="87">
        <v>300000</v>
      </c>
    </row>
    <row r="73" spans="1:3" x14ac:dyDescent="0.25">
      <c r="A73" s="159">
        <v>46038</v>
      </c>
      <c r="B73" s="1" t="s">
        <v>84</v>
      </c>
      <c r="C73" s="87">
        <v>178000</v>
      </c>
    </row>
    <row r="74" spans="1:3" x14ac:dyDescent="0.25">
      <c r="A74" s="159">
        <v>46038</v>
      </c>
      <c r="B74" s="1" t="s">
        <v>84</v>
      </c>
      <c r="C74" s="87">
        <v>250000</v>
      </c>
    </row>
    <row r="75" spans="1:3" x14ac:dyDescent="0.25">
      <c r="A75" s="159">
        <v>46038</v>
      </c>
      <c r="B75" s="1" t="s">
        <v>84</v>
      </c>
      <c r="C75" s="87">
        <v>280048</v>
      </c>
    </row>
    <row r="76" spans="1:3" x14ac:dyDescent="0.25">
      <c r="A76" s="159">
        <v>46038</v>
      </c>
      <c r="B76" s="1" t="s">
        <v>84</v>
      </c>
      <c r="C76" s="87">
        <v>180000</v>
      </c>
    </row>
    <row r="77" spans="1:3" x14ac:dyDescent="0.25">
      <c r="A77" s="159">
        <v>46038</v>
      </c>
      <c r="B77" s="1" t="s">
        <v>84</v>
      </c>
      <c r="C77" s="87">
        <v>220000</v>
      </c>
    </row>
    <row r="78" spans="1:3" x14ac:dyDescent="0.25">
      <c r="A78" s="159">
        <v>46038</v>
      </c>
      <c r="B78" s="1" t="s">
        <v>84</v>
      </c>
      <c r="C78" s="87">
        <v>308000</v>
      </c>
    </row>
    <row r="79" spans="1:3" x14ac:dyDescent="0.25">
      <c r="A79" s="159">
        <v>46045</v>
      </c>
      <c r="B79" s="1" t="s">
        <v>84</v>
      </c>
      <c r="C79" s="87">
        <v>300000.21999999997</v>
      </c>
    </row>
    <row r="80" spans="1:3" x14ac:dyDescent="0.25">
      <c r="A80" s="159">
        <v>46045</v>
      </c>
      <c r="B80" s="1" t="s">
        <v>84</v>
      </c>
      <c r="C80" s="87">
        <v>280000</v>
      </c>
    </row>
    <row r="81" spans="1:3" x14ac:dyDescent="0.25">
      <c r="A81" s="159">
        <v>46045</v>
      </c>
      <c r="B81" s="1" t="s">
        <v>84</v>
      </c>
      <c r="C81" s="87">
        <v>202000</v>
      </c>
    </row>
    <row r="82" spans="1:3" x14ac:dyDescent="0.25">
      <c r="A82" s="159">
        <v>46045</v>
      </c>
      <c r="B82" s="1" t="s">
        <v>84</v>
      </c>
      <c r="C82" s="87">
        <v>649990</v>
      </c>
    </row>
    <row r="83" spans="1:3" x14ac:dyDescent="0.25">
      <c r="A83" s="159">
        <v>46045</v>
      </c>
      <c r="B83" s="1" t="s">
        <v>84</v>
      </c>
      <c r="C83" s="87">
        <v>330000</v>
      </c>
    </row>
    <row r="84" spans="1:3" x14ac:dyDescent="0.25">
      <c r="A84" s="159">
        <v>46045</v>
      </c>
      <c r="B84" s="1" t="s">
        <v>84</v>
      </c>
      <c r="C84" s="87">
        <v>250000</v>
      </c>
    </row>
    <row r="85" spans="1:3" x14ac:dyDescent="0.25">
      <c r="A85" s="159">
        <v>46045</v>
      </c>
      <c r="B85" s="1" t="s">
        <v>84</v>
      </c>
      <c r="C85" s="87">
        <v>270000</v>
      </c>
    </row>
    <row r="86" spans="1:3" x14ac:dyDescent="0.25">
      <c r="A86" s="159">
        <v>46045</v>
      </c>
      <c r="B86" s="1" t="s">
        <v>84</v>
      </c>
      <c r="C86" s="87">
        <v>200000</v>
      </c>
    </row>
    <row r="87" spans="1:3" x14ac:dyDescent="0.25">
      <c r="A87" s="159">
        <v>46045</v>
      </c>
      <c r="B87" s="1" t="s">
        <v>84</v>
      </c>
      <c r="C87" s="87">
        <v>425000</v>
      </c>
    </row>
    <row r="88" spans="1:3" x14ac:dyDescent="0.25">
      <c r="A88" s="159">
        <v>46052</v>
      </c>
      <c r="B88" s="1" t="s">
        <v>84</v>
      </c>
      <c r="C88" s="87">
        <v>429938</v>
      </c>
    </row>
    <row r="89" spans="1:3" x14ac:dyDescent="0.25">
      <c r="A89" s="159">
        <v>46052</v>
      </c>
      <c r="B89" s="1" t="s">
        <v>84</v>
      </c>
      <c r="C89" s="87">
        <v>189000</v>
      </c>
    </row>
    <row r="90" spans="1:3" x14ac:dyDescent="0.25">
      <c r="A90" s="159">
        <v>46052</v>
      </c>
      <c r="B90" s="1" t="s">
        <v>84</v>
      </c>
      <c r="C90" s="87">
        <v>350000</v>
      </c>
    </row>
    <row r="91" spans="1:3" x14ac:dyDescent="0.25">
      <c r="A91" s="159">
        <v>46052</v>
      </c>
      <c r="B91" s="1" t="s">
        <v>84</v>
      </c>
      <c r="C91" s="87">
        <v>840000</v>
      </c>
    </row>
    <row r="92" spans="1:3" x14ac:dyDescent="0.25">
      <c r="A92" s="159">
        <v>46052</v>
      </c>
      <c r="B92" s="1" t="s">
        <v>84</v>
      </c>
      <c r="C92" s="87">
        <v>290000</v>
      </c>
    </row>
    <row r="93" spans="1:3" x14ac:dyDescent="0.25">
      <c r="A93" s="159">
        <v>46052</v>
      </c>
      <c r="B93" s="1" t="s">
        <v>84</v>
      </c>
      <c r="C93" s="87">
        <v>200000</v>
      </c>
    </row>
    <row r="94" spans="1:3" x14ac:dyDescent="0.25">
      <c r="A94" s="159">
        <v>46052</v>
      </c>
      <c r="B94" s="1" t="s">
        <v>84</v>
      </c>
      <c r="C94" s="87">
        <v>499744</v>
      </c>
    </row>
    <row r="95" spans="1:3" x14ac:dyDescent="0.25">
      <c r="A95" s="159">
        <v>46059</v>
      </c>
      <c r="B95" s="1" t="s">
        <v>84</v>
      </c>
      <c r="C95" s="87">
        <v>300000</v>
      </c>
    </row>
    <row r="96" spans="1:3" x14ac:dyDescent="0.25">
      <c r="A96" s="159">
        <v>46059</v>
      </c>
      <c r="B96" s="1" t="s">
        <v>84</v>
      </c>
      <c r="C96" s="87">
        <v>189000</v>
      </c>
    </row>
    <row r="97" spans="1:3" x14ac:dyDescent="0.25">
      <c r="A97" s="159">
        <v>46059</v>
      </c>
      <c r="B97" s="1" t="s">
        <v>84</v>
      </c>
      <c r="C97" s="87">
        <v>746483</v>
      </c>
    </row>
    <row r="98" spans="1:3" x14ac:dyDescent="0.25">
      <c r="A98" s="159">
        <v>46059</v>
      </c>
      <c r="B98" s="1" t="s">
        <v>84</v>
      </c>
      <c r="C98" s="87">
        <v>330000</v>
      </c>
    </row>
    <row r="99" spans="1:3" x14ac:dyDescent="0.25">
      <c r="A99" s="159">
        <v>46059</v>
      </c>
      <c r="B99" s="1" t="s">
        <v>84</v>
      </c>
      <c r="C99" s="87">
        <v>340000</v>
      </c>
    </row>
    <row r="100" spans="1:3" x14ac:dyDescent="0.25">
      <c r="A100" s="159">
        <v>46059</v>
      </c>
      <c r="B100" s="1" t="s">
        <v>84</v>
      </c>
      <c r="C100" s="87">
        <v>180000</v>
      </c>
    </row>
    <row r="101" spans="1:3" x14ac:dyDescent="0.25">
      <c r="A101" s="159">
        <v>46059</v>
      </c>
      <c r="B101" s="1" t="s">
        <v>84</v>
      </c>
      <c r="C101" s="87">
        <v>160000</v>
      </c>
    </row>
    <row r="102" spans="1:3" x14ac:dyDescent="0.25">
      <c r="A102" s="159">
        <v>46059</v>
      </c>
      <c r="B102" s="1" t="s">
        <v>84</v>
      </c>
      <c r="C102" s="87">
        <v>750000</v>
      </c>
    </row>
    <row r="103" spans="1:3" x14ac:dyDescent="0.25">
      <c r="A103" s="159">
        <v>46066</v>
      </c>
      <c r="B103" s="1" t="s">
        <v>84</v>
      </c>
      <c r="C103" s="87">
        <v>300000</v>
      </c>
    </row>
    <row r="104" spans="1:3" x14ac:dyDescent="0.25">
      <c r="A104" s="159">
        <v>46066</v>
      </c>
      <c r="B104" s="1" t="s">
        <v>84</v>
      </c>
      <c r="C104" s="87">
        <v>262000</v>
      </c>
    </row>
    <row r="105" spans="1:3" x14ac:dyDescent="0.25">
      <c r="A105" s="159">
        <v>46066</v>
      </c>
      <c r="B105" s="1" t="s">
        <v>84</v>
      </c>
      <c r="C105" s="87">
        <v>290000</v>
      </c>
    </row>
    <row r="106" spans="1:3" x14ac:dyDescent="0.25">
      <c r="A106" s="159">
        <v>46066</v>
      </c>
      <c r="B106" s="1" t="s">
        <v>84</v>
      </c>
      <c r="C106" s="87">
        <v>80000</v>
      </c>
    </row>
    <row r="107" spans="1:3" x14ac:dyDescent="0.25">
      <c r="A107" s="159">
        <v>46066</v>
      </c>
      <c r="B107" s="1" t="s">
        <v>84</v>
      </c>
      <c r="C107" s="87">
        <v>200000</v>
      </c>
    </row>
    <row r="108" spans="1:3" x14ac:dyDescent="0.25">
      <c r="A108" s="159">
        <v>46066</v>
      </c>
      <c r="B108" s="1" t="s">
        <v>84</v>
      </c>
      <c r="C108" s="87">
        <v>975000</v>
      </c>
    </row>
    <row r="109" spans="1:3" x14ac:dyDescent="0.25">
      <c r="A109" s="159">
        <v>46066</v>
      </c>
      <c r="B109" s="1" t="s">
        <v>84</v>
      </c>
      <c r="C109" s="87">
        <v>330000</v>
      </c>
    </row>
    <row r="110" spans="1:3" x14ac:dyDescent="0.25">
      <c r="A110" s="159">
        <v>46073</v>
      </c>
      <c r="B110" s="1" t="s">
        <v>84</v>
      </c>
      <c r="C110" s="87">
        <v>345000</v>
      </c>
    </row>
    <row r="111" spans="1:3" x14ac:dyDescent="0.25">
      <c r="A111" s="159">
        <v>46073</v>
      </c>
      <c r="B111" s="1" t="s">
        <v>84</v>
      </c>
      <c r="C111" s="87">
        <v>280000</v>
      </c>
    </row>
    <row r="112" spans="1:3" x14ac:dyDescent="0.25">
      <c r="A112" s="159">
        <v>46073</v>
      </c>
      <c r="B112" s="1" t="s">
        <v>84</v>
      </c>
      <c r="C112" s="87">
        <v>123000</v>
      </c>
    </row>
    <row r="113" spans="1:3" x14ac:dyDescent="0.25">
      <c r="A113" s="159">
        <v>46073</v>
      </c>
      <c r="B113" s="1" t="s">
        <v>84</v>
      </c>
      <c r="C113" s="87">
        <v>330000</v>
      </c>
    </row>
    <row r="114" spans="1:3" x14ac:dyDescent="0.25">
      <c r="A114" s="159">
        <v>46073</v>
      </c>
      <c r="B114" s="1" t="s">
        <v>84</v>
      </c>
      <c r="C114" s="87">
        <v>295000</v>
      </c>
    </row>
    <row r="115" spans="1:3" x14ac:dyDescent="0.25">
      <c r="A115" s="159">
        <v>46073</v>
      </c>
      <c r="B115" s="1" t="s">
        <v>84</v>
      </c>
      <c r="C115" s="87">
        <v>200000</v>
      </c>
    </row>
    <row r="116" spans="1:3" x14ac:dyDescent="0.25">
      <c r="A116" s="159">
        <v>46073</v>
      </c>
      <c r="B116" s="1" t="s">
        <v>84</v>
      </c>
      <c r="C116" s="87">
        <v>750000</v>
      </c>
    </row>
    <row r="117" spans="1:3" x14ac:dyDescent="0.25">
      <c r="A117" s="159">
        <v>46080</v>
      </c>
      <c r="B117" s="1" t="s">
        <v>84</v>
      </c>
      <c r="C117" s="87">
        <v>344999.91</v>
      </c>
    </row>
    <row r="118" spans="1:3" x14ac:dyDescent="0.25">
      <c r="A118" s="159">
        <v>46080</v>
      </c>
      <c r="B118" s="1" t="s">
        <v>84</v>
      </c>
      <c r="C118" s="87">
        <v>196000</v>
      </c>
    </row>
    <row r="119" spans="1:3" x14ac:dyDescent="0.25">
      <c r="A119" s="159">
        <v>46080</v>
      </c>
      <c r="B119" s="1" t="s">
        <v>84</v>
      </c>
      <c r="C119" s="87">
        <v>291927</v>
      </c>
    </row>
    <row r="120" spans="1:3" x14ac:dyDescent="0.25">
      <c r="A120" s="159">
        <v>46080</v>
      </c>
      <c r="B120" s="1" t="s">
        <v>84</v>
      </c>
      <c r="C120" s="87">
        <v>280000</v>
      </c>
    </row>
    <row r="121" spans="1:3" x14ac:dyDescent="0.25">
      <c r="A121" s="159">
        <v>46080</v>
      </c>
      <c r="B121" s="1" t="s">
        <v>84</v>
      </c>
      <c r="C121" s="87">
        <v>180000</v>
      </c>
    </row>
    <row r="122" spans="1:3" x14ac:dyDescent="0.25">
      <c r="A122" s="159">
        <v>46080</v>
      </c>
      <c r="B122" s="1" t="s">
        <v>84</v>
      </c>
      <c r="C122" s="87">
        <v>200000</v>
      </c>
    </row>
    <row r="123" spans="1:3" x14ac:dyDescent="0.25">
      <c r="A123" s="159">
        <v>46080</v>
      </c>
      <c r="B123" s="1" t="s">
        <v>84</v>
      </c>
      <c r="C123" s="87">
        <v>369188</v>
      </c>
    </row>
    <row r="124" spans="1:3" x14ac:dyDescent="0.25">
      <c r="A124" s="159">
        <v>46087</v>
      </c>
      <c r="B124" s="1" t="s">
        <v>84</v>
      </c>
      <c r="C124" s="87">
        <v>359016</v>
      </c>
    </row>
    <row r="125" spans="1:3" x14ac:dyDescent="0.25">
      <c r="A125" s="159">
        <v>46087</v>
      </c>
      <c r="B125" s="1" t="s">
        <v>84</v>
      </c>
      <c r="C125" s="87">
        <v>280000</v>
      </c>
    </row>
    <row r="126" spans="1:3" x14ac:dyDescent="0.25">
      <c r="A126" s="159">
        <v>46087</v>
      </c>
      <c r="B126" s="1" t="s">
        <v>84</v>
      </c>
      <c r="C126" s="87">
        <v>219000</v>
      </c>
    </row>
    <row r="127" spans="1:3" x14ac:dyDescent="0.25">
      <c r="A127" s="159">
        <v>46087</v>
      </c>
      <c r="B127" s="1" t="s">
        <v>84</v>
      </c>
      <c r="C127" s="87">
        <v>402209</v>
      </c>
    </row>
    <row r="128" spans="1:3" x14ac:dyDescent="0.25">
      <c r="A128" s="159">
        <v>46087</v>
      </c>
      <c r="B128" s="1" t="s">
        <v>84</v>
      </c>
      <c r="C128" s="87">
        <v>343406</v>
      </c>
    </row>
    <row r="129" spans="1:3" x14ac:dyDescent="0.25">
      <c r="A129" s="159">
        <v>46087</v>
      </c>
      <c r="B129" s="1" t="s">
        <v>84</v>
      </c>
      <c r="C129" s="87">
        <v>311225</v>
      </c>
    </row>
    <row r="130" spans="1:3" x14ac:dyDescent="0.25">
      <c r="A130" s="159">
        <v>46087</v>
      </c>
      <c r="B130" s="1" t="s">
        <v>84</v>
      </c>
      <c r="C130" s="87">
        <v>180000</v>
      </c>
    </row>
    <row r="131" spans="1:3" x14ac:dyDescent="0.25">
      <c r="A131" s="159">
        <v>46087</v>
      </c>
      <c r="B131" s="1" t="s">
        <v>84</v>
      </c>
      <c r="C131" s="87">
        <v>200000</v>
      </c>
    </row>
    <row r="132" spans="1:3" x14ac:dyDescent="0.25">
      <c r="A132" s="159">
        <v>46087</v>
      </c>
      <c r="B132" s="1" t="s">
        <v>84</v>
      </c>
      <c r="C132" s="87">
        <v>750000</v>
      </c>
    </row>
    <row r="133" spans="1:3" x14ac:dyDescent="0.25">
      <c r="A133" s="159">
        <v>46094</v>
      </c>
      <c r="B133" s="1" t="s">
        <v>84</v>
      </c>
      <c r="C133" s="87">
        <v>383829.61</v>
      </c>
    </row>
    <row r="134" spans="1:3" x14ac:dyDescent="0.25">
      <c r="A134" s="159">
        <v>46094</v>
      </c>
      <c r="B134" s="1" t="s">
        <v>84</v>
      </c>
      <c r="C134" s="87">
        <v>235000</v>
      </c>
    </row>
    <row r="135" spans="1:3" x14ac:dyDescent="0.25">
      <c r="A135" s="159">
        <v>46094</v>
      </c>
      <c r="B135" s="1" t="s">
        <v>84</v>
      </c>
      <c r="C135" s="87">
        <v>297500</v>
      </c>
    </row>
    <row r="136" spans="1:3" x14ac:dyDescent="0.25">
      <c r="A136" s="159">
        <v>46094</v>
      </c>
      <c r="B136" s="1" t="s">
        <v>84</v>
      </c>
      <c r="C136" s="87">
        <v>250000</v>
      </c>
    </row>
    <row r="137" spans="1:3" x14ac:dyDescent="0.25">
      <c r="A137" s="159">
        <v>46094</v>
      </c>
      <c r="B137" s="1" t="s">
        <v>84</v>
      </c>
      <c r="C137" s="87">
        <v>270000</v>
      </c>
    </row>
    <row r="138" spans="1:3" x14ac:dyDescent="0.25">
      <c r="A138" s="159">
        <v>46094</v>
      </c>
      <c r="B138" s="1" t="s">
        <v>84</v>
      </c>
      <c r="C138" s="87">
        <v>200000</v>
      </c>
    </row>
    <row r="139" spans="1:3" x14ac:dyDescent="0.25">
      <c r="A139" s="159">
        <v>46094</v>
      </c>
      <c r="B139" s="1" t="s">
        <v>84</v>
      </c>
      <c r="C139" s="87">
        <v>200000</v>
      </c>
    </row>
    <row r="140" spans="1:3" x14ac:dyDescent="0.25">
      <c r="A140" s="159">
        <v>46094</v>
      </c>
      <c r="B140" s="1" t="s">
        <v>84</v>
      </c>
      <c r="C140" s="87">
        <v>427063</v>
      </c>
    </row>
    <row r="141" spans="1:3" x14ac:dyDescent="0.25">
      <c r="A141" s="159">
        <v>46101</v>
      </c>
      <c r="B141" s="1" t="s">
        <v>84</v>
      </c>
      <c r="C141" s="87">
        <v>397181</v>
      </c>
    </row>
    <row r="142" spans="1:3" x14ac:dyDescent="0.25">
      <c r="A142" s="159">
        <v>46101</v>
      </c>
      <c r="B142" s="1" t="s">
        <v>84</v>
      </c>
      <c r="C142" s="87">
        <v>280000</v>
      </c>
    </row>
    <row r="143" spans="1:3" x14ac:dyDescent="0.25">
      <c r="A143" s="159">
        <v>46101</v>
      </c>
      <c r="B143" s="1" t="s">
        <v>84</v>
      </c>
      <c r="C143" s="87">
        <v>241000</v>
      </c>
    </row>
    <row r="144" spans="1:3" x14ac:dyDescent="0.25">
      <c r="A144" s="159">
        <v>46101</v>
      </c>
      <c r="B144" s="1" t="s">
        <v>84</v>
      </c>
      <c r="C144" s="87">
        <v>761632</v>
      </c>
    </row>
    <row r="145" spans="1:3" x14ac:dyDescent="0.25">
      <c r="A145" s="159">
        <v>46101</v>
      </c>
      <c r="B145" s="1" t="s">
        <v>84</v>
      </c>
      <c r="C145" s="87">
        <v>442500</v>
      </c>
    </row>
    <row r="146" spans="1:3" x14ac:dyDescent="0.25">
      <c r="A146" s="159">
        <v>46101</v>
      </c>
      <c r="B146" s="1" t="s">
        <v>84</v>
      </c>
      <c r="C146" s="87">
        <v>300000</v>
      </c>
    </row>
    <row r="147" spans="1:3" x14ac:dyDescent="0.25">
      <c r="A147" s="159">
        <v>46101</v>
      </c>
      <c r="B147" s="1" t="s">
        <v>84</v>
      </c>
      <c r="C147" s="87">
        <v>270000</v>
      </c>
    </row>
    <row r="148" spans="1:3" x14ac:dyDescent="0.25">
      <c r="A148" s="159">
        <v>46101</v>
      </c>
      <c r="B148" s="1" t="s">
        <v>84</v>
      </c>
      <c r="C148" s="87">
        <v>160000</v>
      </c>
    </row>
    <row r="149" spans="1:3" x14ac:dyDescent="0.25">
      <c r="A149" s="159">
        <v>46101</v>
      </c>
      <c r="B149" s="1" t="s">
        <v>84</v>
      </c>
      <c r="C149" s="87">
        <v>550000</v>
      </c>
    </row>
    <row r="150" spans="1:3" x14ac:dyDescent="0.25">
      <c r="A150" s="159">
        <v>46108</v>
      </c>
      <c r="B150" s="1" t="s">
        <v>84</v>
      </c>
      <c r="C150" s="87">
        <v>370875</v>
      </c>
    </row>
    <row r="151" spans="1:3" x14ac:dyDescent="0.25">
      <c r="A151" s="159">
        <v>46108</v>
      </c>
      <c r="B151" s="1" t="s">
        <v>84</v>
      </c>
      <c r="C151" s="87">
        <v>200000</v>
      </c>
    </row>
    <row r="152" spans="1:3" x14ac:dyDescent="0.25">
      <c r="A152" s="159">
        <v>46108</v>
      </c>
      <c r="B152" s="1" t="s">
        <v>84</v>
      </c>
      <c r="C152" s="87">
        <v>296190</v>
      </c>
    </row>
    <row r="153" spans="1:3" x14ac:dyDescent="0.25">
      <c r="A153" s="159">
        <v>46108</v>
      </c>
      <c r="B153" s="1" t="s">
        <v>84</v>
      </c>
      <c r="C153" s="87">
        <v>280000</v>
      </c>
    </row>
    <row r="154" spans="1:3" x14ac:dyDescent="0.25">
      <c r="A154" s="159">
        <v>46108</v>
      </c>
      <c r="B154" s="1" t="s">
        <v>84</v>
      </c>
      <c r="C154" s="87">
        <v>270000</v>
      </c>
    </row>
    <row r="155" spans="1:3" x14ac:dyDescent="0.25">
      <c r="A155" s="159">
        <v>46108</v>
      </c>
      <c r="B155" s="1" t="s">
        <v>84</v>
      </c>
      <c r="C155" s="87">
        <v>160000</v>
      </c>
    </row>
    <row r="156" spans="1:3" x14ac:dyDescent="0.25">
      <c r="A156" s="159">
        <v>46108</v>
      </c>
      <c r="B156" s="1" t="s">
        <v>84</v>
      </c>
      <c r="C156" s="87">
        <v>354750</v>
      </c>
    </row>
    <row r="157" spans="1:3" x14ac:dyDescent="0.25">
      <c r="A157" s="159">
        <v>46113</v>
      </c>
      <c r="B157" s="1" t="s">
        <v>84</v>
      </c>
      <c r="C157" s="87">
        <v>384350</v>
      </c>
    </row>
    <row r="158" spans="1:3" x14ac:dyDescent="0.25">
      <c r="A158" s="159">
        <v>46113</v>
      </c>
      <c r="B158" s="1" t="s">
        <v>84</v>
      </c>
      <c r="C158" s="87">
        <v>280000</v>
      </c>
    </row>
    <row r="159" spans="1:3" x14ac:dyDescent="0.25">
      <c r="A159" s="159">
        <v>46113</v>
      </c>
      <c r="B159" s="1" t="s">
        <v>84</v>
      </c>
      <c r="C159" s="87">
        <v>207500</v>
      </c>
    </row>
    <row r="160" spans="1:3" x14ac:dyDescent="0.25">
      <c r="A160" s="159">
        <v>46113</v>
      </c>
      <c r="B160" s="1" t="s">
        <v>84</v>
      </c>
      <c r="C160" s="87">
        <v>780000</v>
      </c>
    </row>
    <row r="161" spans="1:3" x14ac:dyDescent="0.25">
      <c r="A161" s="159">
        <v>46113</v>
      </c>
      <c r="B161" s="1" t="s">
        <v>84</v>
      </c>
      <c r="C161" s="87">
        <v>355000</v>
      </c>
    </row>
    <row r="162" spans="1:3" x14ac:dyDescent="0.25">
      <c r="A162" s="159">
        <v>46113</v>
      </c>
      <c r="B162" s="1" t="s">
        <v>84</v>
      </c>
      <c r="C162" s="87">
        <v>295000</v>
      </c>
    </row>
    <row r="163" spans="1:3" x14ac:dyDescent="0.25">
      <c r="A163" s="159">
        <v>46113</v>
      </c>
      <c r="B163" s="1" t="s">
        <v>84</v>
      </c>
      <c r="C163" s="87">
        <v>90000</v>
      </c>
    </row>
    <row r="164" spans="1:3" x14ac:dyDescent="0.25">
      <c r="A164" s="159">
        <v>46113</v>
      </c>
      <c r="B164" s="1" t="s">
        <v>84</v>
      </c>
      <c r="C164" s="87">
        <v>120000</v>
      </c>
    </row>
    <row r="165" spans="1:3" x14ac:dyDescent="0.25">
      <c r="A165" s="159">
        <v>46113</v>
      </c>
      <c r="B165" s="1" t="s">
        <v>84</v>
      </c>
      <c r="C165" s="87">
        <v>750000</v>
      </c>
    </row>
    <row r="166" spans="1:3" x14ac:dyDescent="0.25">
      <c r="A166" s="159">
        <v>46122</v>
      </c>
      <c r="B166" s="1" t="s">
        <v>84</v>
      </c>
      <c r="C166" s="87">
        <v>345000</v>
      </c>
    </row>
    <row r="167" spans="1:3" x14ac:dyDescent="0.25">
      <c r="A167" s="159">
        <v>46122</v>
      </c>
      <c r="B167" s="1" t="s">
        <v>84</v>
      </c>
      <c r="C167" s="87">
        <v>200000</v>
      </c>
    </row>
    <row r="168" spans="1:3" x14ac:dyDescent="0.25">
      <c r="A168" s="159">
        <v>46122</v>
      </c>
      <c r="B168" s="1" t="s">
        <v>84</v>
      </c>
      <c r="C168" s="87">
        <v>295000</v>
      </c>
    </row>
    <row r="169" spans="1:3" x14ac:dyDescent="0.25">
      <c r="A169" s="159">
        <v>46122</v>
      </c>
      <c r="B169" s="1" t="s">
        <v>84</v>
      </c>
      <c r="C169" s="87">
        <v>280000</v>
      </c>
    </row>
    <row r="170" spans="1:3" x14ac:dyDescent="0.25">
      <c r="A170" s="159">
        <v>46122</v>
      </c>
      <c r="B170" s="1" t="s">
        <v>84</v>
      </c>
      <c r="C170" s="87">
        <v>90000</v>
      </c>
    </row>
    <row r="171" spans="1:3" x14ac:dyDescent="0.25">
      <c r="A171" s="159">
        <v>46122</v>
      </c>
      <c r="B171" s="1" t="s">
        <v>84</v>
      </c>
      <c r="C171" s="87">
        <v>200000</v>
      </c>
    </row>
    <row r="172" spans="1:3" x14ac:dyDescent="0.25">
      <c r="A172" s="159">
        <v>46122</v>
      </c>
      <c r="B172" s="1" t="s">
        <v>84</v>
      </c>
      <c r="C172" s="87">
        <v>330000</v>
      </c>
    </row>
    <row r="173" spans="1:3" x14ac:dyDescent="0.25">
      <c r="A173" s="159">
        <v>46129</v>
      </c>
      <c r="B173" s="1" t="s">
        <v>84</v>
      </c>
      <c r="C173" s="87">
        <v>399334</v>
      </c>
    </row>
    <row r="174" spans="1:3" x14ac:dyDescent="0.25">
      <c r="A174" s="159">
        <v>46129</v>
      </c>
      <c r="B174" s="1" t="s">
        <v>84</v>
      </c>
      <c r="C174" s="87">
        <v>280000</v>
      </c>
    </row>
    <row r="175" spans="1:3" x14ac:dyDescent="0.25">
      <c r="A175" s="159">
        <v>46129</v>
      </c>
      <c r="B175" s="1" t="s">
        <v>84</v>
      </c>
      <c r="C175" s="87">
        <v>259912</v>
      </c>
    </row>
    <row r="176" spans="1:3" x14ac:dyDescent="0.25">
      <c r="A176" s="159">
        <v>46129</v>
      </c>
      <c r="B176" s="1" t="s">
        <v>84</v>
      </c>
      <c r="C176" s="87">
        <v>715000</v>
      </c>
    </row>
    <row r="177" spans="1:3" x14ac:dyDescent="0.25">
      <c r="A177" s="159">
        <v>46129</v>
      </c>
      <c r="B177" s="1" t="s">
        <v>84</v>
      </c>
      <c r="C177" s="87">
        <v>389219</v>
      </c>
    </row>
    <row r="178" spans="1:3" x14ac:dyDescent="0.25">
      <c r="A178" s="159">
        <v>46129</v>
      </c>
      <c r="B178" s="1" t="s">
        <v>84</v>
      </c>
      <c r="C178" s="87">
        <v>295000</v>
      </c>
    </row>
    <row r="179" spans="1:3" x14ac:dyDescent="0.25">
      <c r="A179" s="159">
        <v>46129</v>
      </c>
      <c r="B179" s="1" t="s">
        <v>84</v>
      </c>
      <c r="C179" s="87">
        <v>180000</v>
      </c>
    </row>
    <row r="180" spans="1:3" x14ac:dyDescent="0.25">
      <c r="A180" s="159">
        <v>46129</v>
      </c>
      <c r="B180" s="1" t="s">
        <v>84</v>
      </c>
      <c r="C180" s="87">
        <v>200000</v>
      </c>
    </row>
    <row r="181" spans="1:3" x14ac:dyDescent="0.25">
      <c r="A181" s="159">
        <v>46129</v>
      </c>
      <c r="B181" s="1" t="s">
        <v>84</v>
      </c>
      <c r="C181" s="87">
        <v>750000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A3B3F57-71D7-45C8-BC88-68BA4B8D86B2}">
  <ds:schemaRefs>
    <ds:schemaRef ds:uri="d07e69a6-4c47-4689-8a4b-b6455870e7f8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www.w3.org/XML/1998/namespace"/>
    <ds:schemaRef ds:uri="http://purl.org/dc/elements/1.1/"/>
    <ds:schemaRef ds:uri="http://purl.org/dc/terms/"/>
    <ds:schemaRef ds:uri="http://schemas.openxmlformats.org/package/2006/metadata/core-properties"/>
    <ds:schemaRef ds:uri="3fb66916-e76c-4d03-ae05-5e8b00f44c30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2026-04-20T12:18:12Z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