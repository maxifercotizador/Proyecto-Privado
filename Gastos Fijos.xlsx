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36" documentId="13_ncr:1_{F39443B0-11EE-4A85-84B8-BCF3678BA4E9}" xr6:coauthVersionLast="47" xr6:coauthVersionMax="47" xr10:uidLastSave="{469531E7-CBB3-43B8-A6A0-807639EE6529}"/>
  <bookViews>
    <workbookView xWindow="-120" yWindow="-120" windowWidth="29040" windowHeight="15720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<sst xmlns="http://schemas.openxmlformats.org/spreadsheetml/2006/main" count="1636" uniqueCount="298">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</sst>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8" totalsRowShown="0" headerRowDxfId="32" dataDxfId="30" headerRowBorderDxfId="31" tableBorderDxfId="29">
  <autoFilter ref="K2:N408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8" totalsRowShown="0" headerRowDxfId="24" dataDxfId="22" headerRowBorderDxfId="23" tableBorderDxfId="21">
  <autoFilter ref="P2:S248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abSelected="1" zoomScaleNormal="100" workbookViewId="0">
      <pane ySplit="3" topLeftCell="A4" activePane="bottomLeft" state="frozen"/>
      <selection pane="bottomLeft" activeCell="C11" sqref="C11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/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/>
      </c>
      <c r="F23" s="140">
        <f t="shared" ca="1" si="19"/>
        <v>12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- BUSINESS</v>
      </c>
      <c r="B26" s="42">
        <f ca="1"/>
        <v>18</v>
      </c>
      <c r="C26" s="102">
        <f ca="1"/>
        <v>848160</v>
      </c>
      <c r="D26" s="133" t="str">
        <f ca="1"/>
        <v/>
      </c>
      <c r="E26" s="134" t="str">
        <f ca="1"/>
        <v/>
      </c>
      <c r="F26" s="140">
        <f t="shared" ca="1" si="19"/>
        <v>14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18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Cuota Facilidades IVA</v>
      </c>
      <c r="HH247" s="1">
        <f ca="1"/>
        <v>16</v>
      </c>
      <c r="HI247" s="4">
        <f ca="1"/>
        <v>446304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410336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Personal Flow</v>
      </c>
      <c r="HH249" s="1">
        <f ca="1"/>
        <v>16</v>
      </c>
      <c r="HI249" s="4">
        <f ca="1"/>
        <v>89083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46160</v>
      </c>
      <c r="HG250" s="1" t="str">
        <f ca="1"/>
        <v>Tarjeta Galicia - BUSINESS</v>
      </c>
      <c r="HH250" s="1">
        <f ca="1"/>
        <v>18</v>
      </c>
      <c r="HI250" s="4">
        <f ca="1"/>
        <v>848160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opLeftCell="J1" zoomScaleNormal="100" workbookViewId="0">
      <pane ySplit="2" topLeftCell="A380" activePane="bottomLeft" state="frozen"/>
      <selection pane="bottomLeft" activeCell="M402" sqref="M402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4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0.2529085520925442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0.2529085520925442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911404.27</v>
      </c>
      <c r="AC4" s="98">
        <f t="shared" si="2"/>
        <v>6.7706588338192375E-2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9145258.6400000006</v>
      </c>
      <c r="AC5" s="98">
        <f t="shared" si="2"/>
        <v>0.67938485956926342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13461086.91</v>
      </c>
      <c r="AD7" s="76">
        <f t="shared" si="3"/>
        <v>46113</v>
      </c>
      <c r="AG7" s="79" t="str">
        <v>mayo</v>
      </c>
      <c r="AH7" s="81">
        <v>13461086.91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E-che Rebotado</v>
      </c>
      <c r="W8" s="119">
        <v>280000</v>
      </c>
      <c r="X8" s="92" t="str">
        <v>GVarios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46149</v>
      </c>
      <c r="V9" s="1" t="str">
        <v>Endosado ALNAT</v>
      </c>
      <c r="W9" s="91">
        <v>919720.09</v>
      </c>
      <c r="X9" s="92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46155</v>
      </c>
      <c r="V10" s="1" t="str">
        <v>Endosado ALU-MAQ</v>
      </c>
      <c r="W10" s="91">
        <v>564841.93000000005</v>
      </c>
      <c r="X10" s="92" t="str">
        <v>Mercaderia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46155</v>
      </c>
      <c r="V11" s="1" t="str">
        <v>Endosado ALNAT</v>
      </c>
      <c r="W11" s="91">
        <v>1925665.43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46157</v>
      </c>
      <c r="V12" s="1" t="str">
        <v>Endosado ALNAT</v>
      </c>
      <c r="W12" s="91">
        <v>799786.09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46159</v>
      </c>
      <c r="V13" s="1" t="str">
        <v>Endosado ALNAT</v>
      </c>
      <c r="W13" s="91">
        <v>2137195.3600000003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46169</v>
      </c>
      <c r="V14" s="1" t="str">
        <v>Endosado ALU-MAQ</v>
      </c>
      <c r="W14" s="91">
        <v>919720.09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/>
      <c r="W15" s="91"/>
      <c r="X15" s="92"/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/>
      <c r="W16" s="91"/>
      <c r="X16" s="92"/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N409" s="101"/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8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2026-05-04T19:12:35Z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