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673" documentId="13_ncr:1_{F39443B0-11EE-4A85-84B8-BCF3678BA4E9}" xr6:coauthVersionLast="47" xr6:coauthVersionMax="47" xr10:uidLastSave="{22CEB382-86C0-41D1-954B-92F582F00E57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SUEL!$A$2:$C$181</definedName>
    <definedName name="DatosExternos_2" localSheetId="1" hidden="1">'Gastos Reales'!$E$2:$I$150</definedName>
    <definedName name="DatosExternos_3" localSheetId="2" hidden="1">SUEL!$E$2:$E$26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  <c r="AN13" i="1"/>
  <c r="C36" i="1"/>
  <c r="C37" i="1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C40" i="1" l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N9" i="1"/>
  <c r="AR9" i="1" s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79" i="1" a="1"/>
  <c r="HF157" i="1" a="1"/>
  <c r="HF234" i="1" a="1"/>
  <c r="HF116" i="1" a="1"/>
  <c r="HF308" i="1" a="1"/>
  <c r="HF266" i="1" a="1"/>
  <c r="HF196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22" i="1" a="1"/>
  <c r="HF36" i="1" a="1"/>
  <c r="HF23" i="1" a="1"/>
  <c r="HF24" i="1" a="1"/>
  <c r="HF152" i="1" a="1"/>
  <c r="HF17" i="1" a="1"/>
  <c r="HF26" i="1" a="1"/>
  <c r="HF34" i="1" a="1"/>
  <c r="HF153" i="1" a="1"/>
  <c r="HF156" i="1" a="1"/>
  <c r="HF56" i="1" a="1"/>
  <c r="HF192" i="1" a="1"/>
  <c r="HF233" i="1" a="1"/>
  <c r="HF154" i="1" a="1"/>
  <c r="HF19" i="1" a="1"/>
  <c r="HF29" i="1" a="1"/>
  <c r="HF20" i="1" a="1"/>
  <c r="HF304" i="1" a="1"/>
  <c r="HF195" i="1" a="1"/>
  <c r="HF232" i="1" a="1"/>
  <c r="HF228" i="1" a="1"/>
  <c r="HF8" i="1" a="1"/>
  <c r="HF306" i="1" a="1"/>
  <c r="HF114" i="1" a="1"/>
  <c r="HF12" i="1" a="1"/>
  <c r="HF13" i="1" a="1"/>
  <c r="HF191" i="1" a="1"/>
  <c r="HF190" i="1" a="1"/>
  <c r="HF7" i="1" a="1"/>
  <c r="HF5" i="1" a="1"/>
  <c r="HF193" i="1" a="1"/>
  <c r="HF31" i="1" a="1"/>
  <c r="HF27" i="1" a="1"/>
  <c r="HF6" i="1" a="1"/>
  <c r="HF35" i="1" a="1"/>
  <c r="HF231" i="1" a="1"/>
  <c r="HF155" i="1" a="1"/>
  <c r="HF18" i="1" a="1"/>
  <c r="HF28" i="1" a="1"/>
  <c r="HF230" i="1" a="1"/>
  <c r="HF4" i="1" a="1"/>
  <c r="HF11" i="1" a="1"/>
  <c r="HF25" i="1" a="1"/>
  <c r="HF305" i="1" a="1"/>
  <c r="HF229" i="1" a="1"/>
  <c r="HF15" i="1" a="1"/>
  <c r="HF10" i="1" a="1"/>
  <c r="HF307" i="1" a="1"/>
  <c r="HF16" i="1" a="1"/>
  <c r="HF33" i="1" a="1"/>
  <c r="HF9" i="1" a="1"/>
  <c r="HF30" i="1" a="1"/>
  <c r="HF115" i="1" a="1"/>
  <c r="HF194" i="1" a="1"/>
  <c r="HF197" i="1" a="1"/>
  <c r="HF78" i="1" a="1"/>
  <c r="HF32" i="1" a="1"/>
  <c r="HF235" i="1" a="1"/>
  <c r="HF38" i="1" a="1"/>
  <c r="HF80" i="1" a="1"/>
  <c r="HF77" i="1" a="1"/>
  <c r="HF21" i="1" a="1"/>
  <c r="HF37" i="1" a="1"/>
  <c r="HF14" i="1" a="1"/>
  <c r="HF267" i="1" a="1"/>
  <c r="HF309" i="1" a="1"/>
  <c r="HF158" i="1" a="1"/>
  <c r="HF11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7" i="1" a="1"/>
  <c r="HF41" i="1" a="1"/>
  <c r="HF54" i="1" a="1"/>
  <c r="HF44" i="1" a="1"/>
  <c r="HF236" i="1" a="1"/>
  <c r="HF50" i="1" a="1"/>
  <c r="HF53" i="1" a="1"/>
  <c r="HF43" i="1" a="1"/>
  <c r="HF42" i="1" a="1"/>
  <c r="HF45" i="1" a="1"/>
  <c r="HF52" i="1" a="1"/>
  <c r="HF159" i="1" a="1"/>
  <c r="HF49" i="1" a="1"/>
  <c r="HF48" i="1" a="1"/>
  <c r="HF55" i="1" a="1"/>
  <c r="HF46" i="1" a="1"/>
  <c r="HF118" i="1" a="1"/>
  <c r="HF81" i="1" a="1"/>
  <c r="HF310" i="1" a="1"/>
  <c r="HF198" i="1" a="1"/>
  <c r="HF58" i="1" a="1"/>
  <c r="HF51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269" i="1" a="1"/>
  <c r="HF57" i="1" a="1"/>
  <c r="HF160" i="1" a="1"/>
  <c r="HF311" i="1" a="1"/>
  <c r="HF82" i="1" a="1"/>
  <c r="HF237" i="1" a="1"/>
  <c r="HF119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200" i="1" a="1"/>
  <c r="HF60" i="1" a="1"/>
  <c r="HF270" i="1" a="1"/>
  <c r="HF238" i="1" a="1"/>
  <c r="HF83" i="1" a="1"/>
  <c r="HF161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84" i="1" a="1"/>
  <c r="HF313" i="1" a="1"/>
  <c r="HF121" i="1" a="1"/>
  <c r="HF239" i="1" a="1"/>
  <c r="HF271" i="1" a="1"/>
  <c r="HF201" i="1" a="1"/>
  <c r="HF162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240" i="1" a="1"/>
  <c r="HF85" i="1" a="1"/>
  <c r="HF163" i="1" a="1"/>
  <c r="HF314" i="1" a="1"/>
  <c r="HF122" i="1" a="1"/>
  <c r="HF20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203" i="1" a="1"/>
  <c r="HF164" i="1" a="1"/>
  <c r="HF123" i="1" a="1"/>
  <c r="HF315" i="1" a="1"/>
  <c r="HF86" i="1" a="1"/>
  <c r="HF241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316" i="1" a="1"/>
  <c r="HF124" i="1" a="1"/>
  <c r="HF87" i="1" a="1"/>
  <c r="HF165" i="1" a="1"/>
  <c r="HF204" i="1" a="1"/>
  <c r="HF242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25" i="1" a="1"/>
  <c r="HF166" i="1" a="1"/>
  <c r="HF243" i="1" a="1"/>
  <c r="HF88" i="1" a="1"/>
  <c r="HF275" i="1" a="1"/>
  <c r="HF20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89" i="1" a="1"/>
  <c r="HF318" i="1" a="1"/>
  <c r="HF276" i="1" a="1"/>
  <c r="HF206" i="1" a="1"/>
  <c r="HF126" i="1" a="1"/>
  <c r="HF244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27" i="1" a="1"/>
  <c r="HF168" i="1" a="1"/>
  <c r="HF207" i="1" a="1"/>
  <c r="HF319" i="1" a="1"/>
  <c r="HF90" i="1" a="1"/>
  <c r="HF277" i="1" a="1"/>
  <c r="HF245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169" i="1" a="1"/>
  <c r="HF320" i="1" a="1"/>
  <c r="HF246" i="1" a="1"/>
  <c r="HF208" i="1" a="1"/>
  <c r="HF91" i="1" a="1"/>
  <c r="HF128" i="1" a="1"/>
  <c r="HF27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322" i="1" a="1"/>
  <c r="HF210" i="1" a="1"/>
  <c r="HF280" i="1" a="1"/>
  <c r="HF171" i="1" a="1"/>
  <c r="HF93" i="1" a="1"/>
  <c r="HF248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211" i="1" a="1"/>
  <c r="HF249" i="1" a="1"/>
  <c r="HF94" i="1" a="1"/>
  <c r="HF281" i="1" a="1"/>
  <c r="HF323" i="1" a="1"/>
  <c r="HF131" i="1" a="1"/>
  <c r="HF172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12" i="1" a="1"/>
  <c r="HF173" i="1" a="1"/>
  <c r="HF95" i="1" a="1"/>
  <c r="HF282" i="1" a="1"/>
  <c r="HF132" i="1" a="1"/>
  <c r="HF250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133" i="1" a="1"/>
  <c r="HF213" i="1" a="1"/>
  <c r="HF174" i="1" a="1"/>
  <c r="HF96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97" i="1" a="1"/>
  <c r="HF284" i="1" a="1"/>
  <c r="HF175" i="1" a="1"/>
  <c r="HF251" i="1" a="1"/>
  <c r="HF13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52" i="1" a="1"/>
  <c r="HF135" i="1" a="1"/>
  <c r="HF285" i="1" a="1"/>
  <c r="HF214" i="1" a="1"/>
  <c r="HF98" i="1" a="1"/>
  <c r="HF252" i="1" l="1"/>
  <c r="HL216" i="1"/>
  <c r="HF214" i="1"/>
  <c r="HL177" i="1"/>
  <c r="HF98" i="1"/>
  <c r="HF285" i="1"/>
  <c r="HF135" i="1"/>
  <c r="HL99" i="1"/>
  <c r="HL286" i="1"/>
  <c r="HL136" i="1"/>
  <c r="HF136" i="1" a="1"/>
  <c r="HF176" i="1" a="1"/>
  <c r="HF215" i="1" a="1"/>
  <c r="HF286" i="1" a="1"/>
  <c r="HF99" i="1" a="1"/>
  <c r="HL217" i="1" l="1"/>
  <c r="HF215" i="1"/>
  <c r="HL178" i="1"/>
  <c r="HF176" i="1"/>
  <c r="HF136" i="1"/>
  <c r="HF286" i="1"/>
  <c r="HF99" i="1"/>
  <c r="HL137" i="1"/>
  <c r="HL287" i="1"/>
  <c r="HL100" i="1"/>
  <c r="HF177" i="1" a="1"/>
  <c r="HF137" i="1" a="1"/>
  <c r="HF100" i="1" a="1"/>
  <c r="HF216" i="1" a="1"/>
  <c r="HF287" i="1" a="1"/>
  <c r="HL218" i="1" l="1"/>
  <c r="HF216" i="1"/>
  <c r="HL179" i="1"/>
  <c r="HF177" i="1"/>
  <c r="HF100" i="1"/>
  <c r="HF287" i="1"/>
  <c r="HF137" i="1"/>
  <c r="HL101" i="1"/>
  <c r="HL288" i="1"/>
  <c r="HL138" i="1"/>
  <c r="HF217" i="1" a="1"/>
  <c r="HF288" i="1" a="1"/>
  <c r="HF178" i="1" a="1"/>
  <c r="HF101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218" i="1" a="1"/>
  <c r="HF179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03" i="1" a="1"/>
  <c r="HF289" i="1" a="1"/>
  <c r="HF139" i="1" a="1"/>
  <c r="HF289" i="1" l="1"/>
  <c r="HL141" i="1"/>
  <c r="HF139" i="1"/>
  <c r="HF103" i="1"/>
  <c r="HL104" i="1"/>
  <c r="HF140" i="1" a="1"/>
  <c r="HF104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<sst xmlns="http://schemas.openxmlformats.org/spreadsheetml/2006/main" count="1492" uniqueCount="294">
  <si>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</si>
  <si>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</si>
  <si>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</si>
  <si>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</si>
  <si>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</si>
  <si>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</si>
  <si>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</si>
  <si>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</si>
  <si>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</si>
  <si>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</si>
  <si>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</si>
  <si>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</si>
  <si>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</si>
  <si>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</si>
  <si>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</si>
  <si>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</si>
  <si>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</si>
  <si>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</si>
  <si>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</si>
  <si>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</si>
  <si>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</si>
  <si>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</si>
  <si>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</si>
  <si>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</si>
  <si>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</si>
  <si>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</si>
  <si>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</si>
  <si>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</si>
  <si>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</si>
  <si>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</si>
  <si>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</si>
  <si>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</si>
  <si>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</si>
  <si>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</si>
  <si>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</si>
  <si>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</si>
  <si>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</si>
  <si>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</si>
  <si>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</si>
  <si>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</si>
  <si>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</si>
  <si>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</si>
  <si>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</si>
  <si>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</si>
  <si>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</si>
  <si>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</si>
  <si>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</si>
  <si>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</si>
  <si>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</si>
  <si>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</si>
  <si>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</si>
  <si>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</si>
  <si>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</si>
  <si>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</si>
  <si>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</si>
  <si>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</si>
  <si>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</si>
  <si>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</si>
  <si>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</si>
  <si>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</si>
  <si>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</si>
  <si>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</si>
  <si>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</si>
  <si>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</si>
  <si>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</si>
  <si>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</si>
  <si>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</si>
  <si>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</si>
  <si>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</si>
  <si>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</si>
  <si>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</si>
  <si>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</si>
  <si>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</si>
  <si>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</si>
  <si>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</si>
  <si>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</si>
  <si>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</si>
  <si>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</si>
  <si>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</si>
  <si>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</si>
  <si>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</si>
  <si>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</si>
  <si>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</si>
  <si>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</si>
  <si>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</si>
  <si>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</si>
  <si>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</si>
  <si>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</si>
  <si>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</si>
  <si>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</si>
  <si>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</si>
  <si>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</si>
  <si>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</si>
  <si>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</si>
  <si>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</si>
  <si>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</si>
  <si>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</si>
  <si>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</si>
  <si>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</si>
  <si>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</si>
  <si>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</si>
  <si>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</si>
  <si>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</si>
  <si>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</si>
  <si>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</si>
  <si>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</si>
  <si>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</si>
  <si>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</si>
  <si>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</si>
  <si>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</si>
  <si>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</si>
  <si>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</si>
  <si>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</si>
  <si>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</si>
  <si>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</si>
  <si>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</si>
  <si>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</si>
  <si>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</si>
  <si>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</si>
  <si>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</si>
  <si>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</si>
  <si>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</si>
  <si>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</si>
  <si>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</si>
  <si>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</si>
  <si>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</si>
  <si>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</si>
  <si>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</si>
  <si>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</si>
  <si>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</si>
  <si>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</si>
  <si>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</si>
  <si>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</si>
  <si>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</si>
  <si>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</si>
  <si>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</si>
  <si>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</si>
  <si>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</si>
  <si>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</si>
  <si>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</si>
  <si>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</si>
  <si>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</si>
  <si>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</si>
  <si>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</si>
  <si>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</si>
  <si>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</si>
  <si>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</si>
  <si>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</si>
  <si>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</si>
  <si>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</si>
  <si>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</si>
  <si>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</si>
  <si>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</si>
  <si>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</si>
  <si>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</si>
  <si>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</si>
  <si>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</si>
  <si>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</si>
  <si>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</si>
  <si>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</si>
  <si>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</si>
  <si>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</si>
  <si>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</si>
  <si>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</si>
  <si>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</si>
  <si>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</si>
  <si>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</si>
  <si>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</si>
  <si>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</si>
  <si>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</si>
  <si>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</si>
  <si>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</si>
  <si>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</si>
  <si>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</si>
  <si>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</si>
  <si>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</si>
  <si>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</si>
  <si>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</si>
  <si>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</si>
  <si>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</si>
  <si>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</si>
  <si>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</si>
  <si>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</si>
  <si>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</si>
  <si>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</si>
  <si>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</si>
  <si>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</si>
  <si>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</si>
  <si>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</si>
  <si>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</si>
  <si>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</si>
  <si>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</si>
  <si>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</si>
  <si>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</si>
  <si>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</si>
  <si>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</si>
  <si>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</si>
  <si>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</si>
  <si>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</si>
  <si>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</si>
  <si>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</si>
  <si>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</si>
  <si>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</si>
  <si>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</si>
  <si>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</si>
  <si>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</si>
  <si>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</si>
  <si>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</si>
  <si>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</si>
  <si>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</si>
  <si>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</si>
  <si>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</si>
  <si>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</si>
  <si>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</si>
  <si>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</si>
  <si>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</si>
  <si>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</si>
  <si>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</si>
  <si>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</si>
  <si>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</si>
  <si>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</si>
  <si>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</si>
  <si>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</si>
  <si>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</si>
  <si>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</si>
  <si>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</si>
  <si>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</si>
  <si>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</si>
  <si>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</si>
  <si>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</si>
  <si>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</si>
  <si>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</si>
  <si>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</si>
  <si>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</si>
  <si>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</si>
  <si>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</si>
  <si>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</si>
  <si>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</si>
  <si>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</si>
  <si>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</si>
  <si>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</si>
  <si>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</si>
  <si>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</si>
  <si>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</si>
  <si>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</si>
  <si>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</si>
  <si>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</si>
  <si>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</si>
  <si>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</si>
  <si>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</si>
  <si>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</si>
  <si>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</si>
  <si>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</si>
  <si>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</si>
  <si>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</si>
  <si>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</si>
  <si>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</si>
  <si>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</si>
  <si>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</si>
  <si>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</si>
  <si>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</si>
  <si>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</si>
  <si>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</si>
  <si>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</si>
  <si>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</si>
  <si>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</si>
  <si>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</si>
  <si>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</si>
  <si>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</si>
  <si>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</si>
  <si>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</si>
  <si>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</si>
  <si>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</si>
  <si>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</si>
  <si>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</si>
  <si>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</si>
  <si>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</si>
  <si>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</si>
  <si>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</si>
  <si>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</si>
  <si>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</si>
  <si>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</si>
  <si>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</si>
  <si>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</si>
  <si>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</si>
  <si>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</si>
  <si>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</si>
  <si>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</si>
  <si>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</si>
  <si>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</si>
  <si>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IIBB 4/26</t>
  </si>
  <si>
    <t>Tarjeta Galicia + VISA 3394</t>
  </si>
  <si>
    <t>JUNTAR ESTE DINERO LO ANTES POSIBLE</t>
  </si>
  <si>
    <t>Vía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</si>
</sst>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4" fillId="0" borderId="0" xfId="0" applyNumberFormat="1" applyFont="1" applyAlignment="1">
      <alignment horizontal="left"/>
    </xf>
    <xf numFmtId="14" fontId="4" fillId="6" borderId="24" xfId="0" applyNumberFormat="1" applyFont="1" applyFill="1" applyBorder="1" applyAlignment="1">
      <alignment horizontal="center"/>
    </xf>
    <xf numFmtId="0" fontId="4" fillId="6" borderId="25" xfId="0" applyFont="1" applyFill="1" applyBorder="1"/>
    <xf numFmtId="0" fontId="4" fillId="6" borderId="25" xfId="0" applyFont="1" applyFill="1" applyBorder="1" applyAlignment="1">
      <alignment horizontal="center" vertical="center" wrapText="1"/>
    </xf>
    <xf numFmtId="165" fontId="4" fillId="6" borderId="26" xfId="1" applyNumberFormat="1" applyFont="1" applyFill="1" applyBorder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0" tableType="queryTable" totalsRowShown="0" headerRowDxfId="39" dataDxfId="38">
  <autoFilter ref="E2:I150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58" totalsRowShown="0" headerRowDxfId="32" dataDxfId="30" headerRowBorderDxfId="31" tableBorderDxfId="29">
  <autoFilter ref="K2:N358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29" totalsRowShown="0" headerRowDxfId="24" dataDxfId="22" headerRowBorderDxfId="23" tableBorderDxfId="21">
  <autoFilter ref="P2:S22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1" tableType="queryTable" totalsRowShown="0" headerRowDxfId="16" dataDxfId="15">
  <autoFilter ref="A2:C181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6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21" activePane="bottomLeft" state="frozen"/>
      <selection pane="bottomLeft" activeCell="B37" sqref="B37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3783928.54</v>
      </c>
      <c r="H1" s="170" t="s">
        <v>34</v>
      </c>
      <c r="I1" s="171"/>
      <c r="J1" s="171"/>
      <c r="K1" s="171"/>
      <c r="L1" s="171"/>
      <c r="M1" s="171"/>
      <c r="N1" s="172"/>
      <c r="O1" s="173">
        <v>2025</v>
      </c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5"/>
      <c r="AA1" s="176">
        <v>2026</v>
      </c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7"/>
      <c r="BN1" s="177"/>
      <c r="BO1" s="177"/>
      <c r="BP1" s="177"/>
      <c r="BQ1" s="177"/>
      <c r="BR1" s="177"/>
      <c r="BS1" s="176">
        <v>2027</v>
      </c>
      <c r="BT1" s="177"/>
      <c r="BU1" s="177"/>
      <c r="BV1" s="177"/>
      <c r="BW1" s="177"/>
      <c r="BX1" s="177"/>
      <c r="BY1" s="177"/>
      <c r="BZ1" s="177"/>
      <c r="CA1" s="177"/>
      <c r="CB1" s="177"/>
      <c r="CC1" s="177"/>
      <c r="CD1" s="177"/>
      <c r="CE1" s="177"/>
      <c r="CF1" s="177"/>
      <c r="CG1" s="177"/>
      <c r="CH1" s="177"/>
      <c r="CI1" s="177"/>
      <c r="CJ1" s="177"/>
      <c r="CK1" s="177"/>
      <c r="CL1" s="177"/>
      <c r="CM1" s="177"/>
      <c r="CN1" s="177"/>
      <c r="CO1" s="177"/>
      <c r="CP1" s="177"/>
      <c r="CQ1" s="177"/>
      <c r="CR1" s="177"/>
      <c r="CS1" s="177"/>
      <c r="CT1" s="177"/>
      <c r="CU1" s="177"/>
      <c r="CV1" s="177"/>
      <c r="CW1" s="177"/>
      <c r="CX1" s="177"/>
      <c r="CY1" s="177"/>
      <c r="CZ1" s="177"/>
      <c r="DA1" s="177"/>
      <c r="DB1" s="177"/>
      <c r="DC1" s="177"/>
      <c r="DD1" s="177"/>
      <c r="DE1" s="177"/>
      <c r="DF1" s="177"/>
      <c r="DG1" s="177"/>
      <c r="DH1" s="177"/>
      <c r="DI1" s="177"/>
      <c r="DJ1" s="177"/>
      <c r="DK1" s="177"/>
      <c r="DL1" s="177"/>
      <c r="DM1" s="177"/>
      <c r="DN1" s="177"/>
      <c r="DO1" s="177"/>
      <c r="DP1" s="177"/>
      <c r="DQ1" s="177"/>
      <c r="DR1" s="177"/>
      <c r="DS1" s="178"/>
    </row>
    <row r="2" spans="1:220" s="2" customFormat="1" ht="15.75" thickBot="1" x14ac:dyDescent="0.3">
      <c r="A2" s="44">
        <v>46113</v>
      </c>
      <c r="B2" s="1"/>
      <c r="C2" s="20">
        <f ca="1">+SUM(C4:C43)</f>
        <v>14689873.099999998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Autonomo</v>
      </c>
      <c r="B5" s="42">
        <f ca="1"/>
        <v>1</v>
      </c>
      <c r="C5" s="8">
        <f ca="1"/>
        <v>90342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IVAN</v>
      </c>
      <c r="B6" s="42">
        <f ca="1"/>
        <v>1</v>
      </c>
      <c r="C6" s="8">
        <f ca="1"/>
        <v>52280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Monotributo Mayeski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Monotributo David</v>
      </c>
      <c r="B8" s="42">
        <f ca="1"/>
        <v>1</v>
      </c>
      <c r="C8" s="8">
        <f ca="1"/>
        <v>42246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/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Movistar</v>
      </c>
      <c r="B9" s="42">
        <f ca="1"/>
        <v>1</v>
      </c>
      <c r="C9" s="8">
        <f ca="1"/>
        <v>10350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7</v>
      </c>
      <c r="AN9" s="8">
        <f t="shared" ref="AN9" si="27">+AJ9</f>
        <v>40577.730000000003</v>
      </c>
      <c r="AO9" s="52"/>
      <c r="AP9" s="9"/>
      <c r="AQ9" s="22">
        <v>7</v>
      </c>
      <c r="AR9" s="8">
        <f t="shared" ref="AR9" si="28">+AN9</f>
        <v>40577.730000000003</v>
      </c>
      <c r="AS9" s="52"/>
      <c r="AT9" s="9"/>
      <c r="AU9" s="22">
        <v>7</v>
      </c>
      <c r="AV9" s="8">
        <f t="shared" ref="AV9" si="29">+AR9</f>
        <v>40577.730000000003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Victoria Seguros</v>
      </c>
      <c r="B10" s="42">
        <f ca="1"/>
        <v>1</v>
      </c>
      <c r="C10" s="8">
        <f ca="1"/>
        <v>123878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Aseg. Motovehicular</v>
      </c>
      <c r="B11" s="42">
        <f ca="1"/>
        <v>2</v>
      </c>
      <c r="C11" s="103">
        <f ca="1"/>
        <v>141512.71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30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1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2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3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4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Personal Flow</v>
      </c>
      <c r="B12" s="42">
        <f ca="1"/>
        <v>2</v>
      </c>
      <c r="C12" s="103">
        <f ca="1"/>
        <v>71670</v>
      </c>
      <c r="D12" s="134" t="str">
        <f ca="1"/>
        <v/>
      </c>
      <c r="E12" s="3" t="str">
        <f ca="1"/>
        <v/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5">+O12</f>
        <v>24</v>
      </c>
      <c r="T12" s="122">
        <f t="shared" ref="T12:T22" si="36">+P12</f>
        <v>889000</v>
      </c>
      <c r="U12" s="129"/>
      <c r="V12" s="131" t="s">
        <v>48</v>
      </c>
      <c r="W12" s="127">
        <f t="shared" ref="W12:W27" si="37">+S12</f>
        <v>24</v>
      </c>
      <c r="X12" s="122">
        <f t="shared" si="30"/>
        <v>889000</v>
      </c>
      <c r="Y12" s="129"/>
      <c r="Z12" s="131" t="s">
        <v>48</v>
      </c>
      <c r="AA12" s="127">
        <f t="shared" ref="AA12:AA22" si="38">+W12</f>
        <v>24</v>
      </c>
      <c r="AB12" s="122">
        <v>879150</v>
      </c>
      <c r="AC12" s="129"/>
      <c r="AD12" s="131" t="s">
        <v>48</v>
      </c>
      <c r="AE12" s="127">
        <f t="shared" ref="AE12:AE27" si="39">+AA12</f>
        <v>24</v>
      </c>
      <c r="AF12" s="122">
        <v>872520</v>
      </c>
      <c r="AG12" s="129"/>
      <c r="AH12" s="131" t="s">
        <v>48</v>
      </c>
      <c r="AI12" s="127">
        <f t="shared" ref="AI12:AI24" si="40">+AE12</f>
        <v>24</v>
      </c>
      <c r="AJ12" s="122">
        <f t="shared" si="32"/>
        <v>872520</v>
      </c>
      <c r="AK12" s="129"/>
      <c r="AL12" s="131" t="s">
        <v>48</v>
      </c>
      <c r="AM12" s="127">
        <f t="shared" ref="AM12:AM20" si="41">+AI12</f>
        <v>24</v>
      </c>
      <c r="AN12" s="122">
        <f t="shared" si="33"/>
        <v>872520</v>
      </c>
      <c r="AO12" s="129"/>
      <c r="AP12" s="131"/>
      <c r="AQ12" s="127">
        <f t="shared" ref="AQ12:AQ27" si="42">+AM12</f>
        <v>24</v>
      </c>
      <c r="AR12" s="122">
        <f t="shared" ref="AR12:AR20" si="43">+AN12</f>
        <v>872520</v>
      </c>
      <c r="AS12" s="129"/>
      <c r="AT12" s="131"/>
      <c r="AU12" s="127">
        <f t="shared" ref="AU12:AU27" si="44">+AQ12</f>
        <v>24</v>
      </c>
      <c r="AV12" s="122">
        <f t="shared" si="34"/>
        <v>872520</v>
      </c>
      <c r="AW12" s="129"/>
      <c r="AX12" s="131"/>
      <c r="AY12" s="127">
        <f t="shared" ref="AY12:AY20" si="45">+AU12</f>
        <v>24</v>
      </c>
      <c r="AZ12" s="122">
        <f t="shared" ref="AZ12:AZ20" si="46">+AV12</f>
        <v>872520</v>
      </c>
      <c r="BA12" s="129"/>
      <c r="BB12" s="131"/>
      <c r="BC12" s="127">
        <f t="shared" ref="BC12:BC20" si="47">+AY12</f>
        <v>24</v>
      </c>
      <c r="BD12" s="122">
        <f t="shared" ref="BD12:BD20" si="48">+AZ12</f>
        <v>872520</v>
      </c>
      <c r="BE12" s="129"/>
      <c r="BF12" s="131"/>
      <c r="BG12" s="127">
        <f t="shared" ref="BG12:BG20" si="49">+BC12</f>
        <v>24</v>
      </c>
      <c r="BH12" s="122">
        <f t="shared" ref="BH12:BH20" si="50">+BD12</f>
        <v>872520</v>
      </c>
      <c r="BI12" s="129"/>
      <c r="BJ12" s="131"/>
      <c r="BK12" s="127">
        <f t="shared" ref="BK12:BK20" si="51">+BG12</f>
        <v>24</v>
      </c>
      <c r="BL12" s="122">
        <f t="shared" ref="BL12:BL20" si="52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Galicia + MASTER</v>
      </c>
      <c r="B13" s="42">
        <f ca="1"/>
        <v>6</v>
      </c>
      <c r="C13" s="103">
        <f ca="1"/>
        <v>40000</v>
      </c>
      <c r="D13" s="134" t="str">
        <f ca="1"/>
        <v/>
      </c>
      <c r="E13" s="3" t="str">
        <f ca="1"/>
        <v>SI</v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5"/>
        <v>14</v>
      </c>
      <c r="T13" s="122">
        <v>1321310</v>
      </c>
      <c r="U13" s="129"/>
      <c r="V13" s="131" t="s">
        <v>48</v>
      </c>
      <c r="W13" s="127">
        <f t="shared" si="37"/>
        <v>14</v>
      </c>
      <c r="X13" s="122">
        <f t="shared" si="30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9"/>
        <v>19</v>
      </c>
      <c r="AF13" s="122">
        <v>1316757</v>
      </c>
      <c r="AG13" s="129"/>
      <c r="AH13" s="131" t="s">
        <v>48</v>
      </c>
      <c r="AI13" s="127">
        <f t="shared" si="40"/>
        <v>19</v>
      </c>
      <c r="AJ13" s="122">
        <f t="shared" si="32"/>
        <v>1316757</v>
      </c>
      <c r="AK13" s="129"/>
      <c r="AL13" s="131" t="s">
        <v>48</v>
      </c>
      <c r="AM13" s="127">
        <f t="shared" si="41"/>
        <v>19</v>
      </c>
      <c r="AN13" s="122">
        <f>1311628.87</f>
        <v>1311628.8700000001</v>
      </c>
      <c r="AO13" s="129"/>
      <c r="AP13" s="131" t="s">
        <v>48</v>
      </c>
      <c r="AQ13" s="127">
        <f t="shared" si="42"/>
        <v>19</v>
      </c>
      <c r="AR13" s="122">
        <f t="shared" si="43"/>
        <v>1311628.8700000001</v>
      </c>
      <c r="AS13" s="129"/>
      <c r="AT13" s="131"/>
      <c r="AU13" s="127">
        <f t="shared" si="44"/>
        <v>19</v>
      </c>
      <c r="AV13" s="122">
        <f t="shared" si="34"/>
        <v>1311628.8700000001</v>
      </c>
      <c r="AW13" s="129"/>
      <c r="AX13" s="131"/>
      <c r="AY13" s="127">
        <f t="shared" si="45"/>
        <v>19</v>
      </c>
      <c r="AZ13" s="122">
        <f t="shared" si="46"/>
        <v>1311628.8700000001</v>
      </c>
      <c r="BA13" s="129"/>
      <c r="BB13" s="131"/>
      <c r="BC13" s="127">
        <f t="shared" si="47"/>
        <v>19</v>
      </c>
      <c r="BD13" s="122">
        <f t="shared" si="48"/>
        <v>1311628.8700000001</v>
      </c>
      <c r="BE13" s="129"/>
      <c r="BF13" s="131"/>
      <c r="BG13" s="127">
        <f t="shared" si="49"/>
        <v>19</v>
      </c>
      <c r="BH13" s="122">
        <f t="shared" si="50"/>
        <v>1311628.8700000001</v>
      </c>
      <c r="BI13" s="129"/>
      <c r="BJ13" s="131"/>
      <c r="BK13" s="127">
        <f t="shared" si="51"/>
        <v>19</v>
      </c>
      <c r="BL13" s="122">
        <f t="shared" si="52"/>
        <v>1311628.8700000001</v>
      </c>
      <c r="BM13" s="129"/>
      <c r="BN13" s="131"/>
      <c r="BO13" s="127">
        <f t="shared" ref="BO13:BO20" si="53">+BK13</f>
        <v>19</v>
      </c>
      <c r="BP13" s="122">
        <f t="shared" ref="BP13:BP20" si="54">+BL13</f>
        <v>1311628.8700000001</v>
      </c>
      <c r="BQ13" s="129"/>
      <c r="BR13" s="131"/>
      <c r="BS13" s="127">
        <f t="shared" ref="BS13:BS20" si="55">+BO13</f>
        <v>19</v>
      </c>
      <c r="BT13" s="122">
        <f t="shared" ref="BT13:BT20" si="56">+BP13</f>
        <v>1311628.8700000001</v>
      </c>
      <c r="BU13" s="129"/>
      <c r="BV13" s="131"/>
      <c r="BW13" s="127">
        <f t="shared" ref="BW13" si="57">+BS13</f>
        <v>19</v>
      </c>
      <c r="BX13" s="122">
        <f t="shared" ref="BX13" si="58">+BT13</f>
        <v>1311628.8700000001</v>
      </c>
      <c r="BY13" s="129"/>
      <c r="BZ13" s="131"/>
      <c r="CA13" s="127">
        <f t="shared" ref="CA13" si="59">+BW13</f>
        <v>19</v>
      </c>
      <c r="CB13" s="122">
        <f t="shared" ref="CB13" si="60">+BX13</f>
        <v>1311628.8700000001</v>
      </c>
      <c r="CC13" s="122"/>
      <c r="CD13" s="129"/>
      <c r="CE13" s="127">
        <f t="shared" ref="CE13" si="61">+CA13</f>
        <v>19</v>
      </c>
      <c r="CF13" s="122">
        <f t="shared" ref="CF13" si="62">+CB13</f>
        <v>1311628.8700000001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ICBC</v>
      </c>
      <c r="B14" s="42">
        <f ca="1"/>
        <v>7</v>
      </c>
      <c r="C14" s="103">
        <f ca="1"/>
        <v>40577.730000000003</v>
      </c>
      <c r="D14" s="134" t="str">
        <f ca="1"/>
        <v/>
      </c>
      <c r="E14" s="3" t="str">
        <f ca="1"/>
        <v/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5"/>
        <v>16</v>
      </c>
      <c r="T14" s="8">
        <f t="shared" si="36"/>
        <v>446304</v>
      </c>
      <c r="U14" s="52"/>
      <c r="V14" s="9" t="s">
        <v>48</v>
      </c>
      <c r="W14" s="22">
        <f t="shared" si="37"/>
        <v>16</v>
      </c>
      <c r="X14" s="8">
        <f t="shared" si="30"/>
        <v>446304</v>
      </c>
      <c r="Y14" s="52"/>
      <c r="Z14" s="9" t="s">
        <v>48</v>
      </c>
      <c r="AA14" s="22">
        <f t="shared" si="38"/>
        <v>16</v>
      </c>
      <c r="AB14" s="8">
        <f t="shared" ref="AB14:AB22" si="63">+X14</f>
        <v>446304</v>
      </c>
      <c r="AC14" s="52"/>
      <c r="AD14" s="9" t="s">
        <v>48</v>
      </c>
      <c r="AE14" s="22">
        <f t="shared" si="39"/>
        <v>16</v>
      </c>
      <c r="AF14" s="8">
        <f t="shared" si="31"/>
        <v>446304</v>
      </c>
      <c r="AG14" s="52"/>
      <c r="AH14" s="9" t="s">
        <v>48</v>
      </c>
      <c r="AI14" s="22">
        <f t="shared" si="40"/>
        <v>16</v>
      </c>
      <c r="AJ14" s="8">
        <f t="shared" si="32"/>
        <v>446304</v>
      </c>
      <c r="AK14" s="52"/>
      <c r="AL14" s="9" t="s">
        <v>48</v>
      </c>
      <c r="AM14" s="22">
        <f t="shared" si="41"/>
        <v>16</v>
      </c>
      <c r="AN14" s="8">
        <f t="shared" si="33"/>
        <v>446304</v>
      </c>
      <c r="AO14" s="52"/>
      <c r="AP14" s="9" t="s">
        <v>48</v>
      </c>
      <c r="AQ14" s="22">
        <f t="shared" si="42"/>
        <v>16</v>
      </c>
      <c r="AR14" s="8">
        <f t="shared" si="43"/>
        <v>446304</v>
      </c>
      <c r="AS14" s="52"/>
      <c r="AT14" s="9"/>
      <c r="AU14" s="22">
        <f t="shared" si="44"/>
        <v>16</v>
      </c>
      <c r="AV14" s="8">
        <f t="shared" si="34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5"/>
        <v>16</v>
      </c>
      <c r="T15" s="8">
        <f t="shared" si="36"/>
        <v>410336</v>
      </c>
      <c r="U15" s="52"/>
      <c r="V15" s="9" t="s">
        <v>48</v>
      </c>
      <c r="W15" s="22">
        <f t="shared" si="37"/>
        <v>16</v>
      </c>
      <c r="X15" s="8">
        <f t="shared" si="30"/>
        <v>410336</v>
      </c>
      <c r="Y15" s="52"/>
      <c r="Z15" s="9" t="s">
        <v>48</v>
      </c>
      <c r="AA15" s="22">
        <f t="shared" si="38"/>
        <v>16</v>
      </c>
      <c r="AB15" s="8">
        <f t="shared" si="63"/>
        <v>410336</v>
      </c>
      <c r="AC15" s="52"/>
      <c r="AD15" s="9" t="s">
        <v>48</v>
      </c>
      <c r="AE15" s="22">
        <f t="shared" si="39"/>
        <v>16</v>
      </c>
      <c r="AF15" s="8">
        <f t="shared" si="31"/>
        <v>410336</v>
      </c>
      <c r="AG15" s="52"/>
      <c r="AH15" s="9" t="s">
        <v>48</v>
      </c>
      <c r="AI15" s="22">
        <f t="shared" si="40"/>
        <v>16</v>
      </c>
      <c r="AJ15" s="8">
        <f t="shared" si="32"/>
        <v>410336</v>
      </c>
      <c r="AK15" s="52"/>
      <c r="AL15" s="9" t="s">
        <v>48</v>
      </c>
      <c r="AM15" s="22">
        <f t="shared" si="41"/>
        <v>16</v>
      </c>
      <c r="AN15" s="8">
        <f t="shared" si="33"/>
        <v>410336</v>
      </c>
      <c r="AO15" s="52"/>
      <c r="AP15" s="9" t="s">
        <v>48</v>
      </c>
      <c r="AQ15" s="22">
        <f t="shared" si="42"/>
        <v>16</v>
      </c>
      <c r="AR15" s="8">
        <f t="shared" si="43"/>
        <v>410336</v>
      </c>
      <c r="AS15" s="52"/>
      <c r="AT15" s="9"/>
      <c r="AU15" s="22">
        <f t="shared" si="44"/>
        <v>16</v>
      </c>
      <c r="AV15" s="8">
        <f t="shared" si="34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/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5"/>
        <v>10</v>
      </c>
      <c r="T16" s="8">
        <f t="shared" si="36"/>
        <v>500000</v>
      </c>
      <c r="U16" s="52"/>
      <c r="V16" s="9" t="s">
        <v>48</v>
      </c>
      <c r="W16" s="22">
        <f t="shared" si="37"/>
        <v>10</v>
      </c>
      <c r="X16" s="8">
        <f t="shared" si="30"/>
        <v>500000</v>
      </c>
      <c r="Y16" s="52"/>
      <c r="Z16" s="9" t="s">
        <v>48</v>
      </c>
      <c r="AA16" s="22">
        <f t="shared" si="38"/>
        <v>10</v>
      </c>
      <c r="AB16" s="8">
        <v>600000</v>
      </c>
      <c r="AC16" s="52"/>
      <c r="AD16" s="9" t="s">
        <v>48</v>
      </c>
      <c r="AE16" s="22">
        <f t="shared" si="39"/>
        <v>10</v>
      </c>
      <c r="AF16" s="8">
        <f t="shared" si="31"/>
        <v>600000</v>
      </c>
      <c r="AG16" s="52"/>
      <c r="AH16" s="9" t="s">
        <v>48</v>
      </c>
      <c r="AI16" s="22">
        <f t="shared" si="40"/>
        <v>10</v>
      </c>
      <c r="AJ16" s="8">
        <f t="shared" si="32"/>
        <v>600000</v>
      </c>
      <c r="AK16" s="52"/>
      <c r="AL16" s="9" t="s">
        <v>48</v>
      </c>
      <c r="AM16" s="22">
        <f t="shared" si="41"/>
        <v>10</v>
      </c>
      <c r="AN16" s="8">
        <f t="shared" si="33"/>
        <v>600000</v>
      </c>
      <c r="AO16" s="52"/>
      <c r="AP16" s="9" t="s">
        <v>48</v>
      </c>
      <c r="AQ16" s="22">
        <f t="shared" si="42"/>
        <v>10</v>
      </c>
      <c r="AR16" s="8">
        <f t="shared" si="43"/>
        <v>600000</v>
      </c>
      <c r="AS16" s="52"/>
      <c r="AT16" s="9"/>
      <c r="AU16" s="22">
        <f t="shared" si="44"/>
        <v>10</v>
      </c>
      <c r="AV16" s="8">
        <f t="shared" si="34"/>
        <v>600000</v>
      </c>
      <c r="AW16" s="52"/>
      <c r="AX16" s="9"/>
      <c r="AY16" s="22">
        <f t="shared" si="45"/>
        <v>10</v>
      </c>
      <c r="AZ16" s="8">
        <f t="shared" si="46"/>
        <v>600000</v>
      </c>
      <c r="BA16" s="52"/>
      <c r="BB16" s="9"/>
      <c r="BC16" s="22">
        <f t="shared" si="47"/>
        <v>10</v>
      </c>
      <c r="BD16" s="8">
        <f t="shared" si="48"/>
        <v>600000</v>
      </c>
      <c r="BE16" s="52"/>
      <c r="BF16" s="9"/>
      <c r="BG16" s="22">
        <f t="shared" si="49"/>
        <v>10</v>
      </c>
      <c r="BH16" s="8">
        <f t="shared" si="50"/>
        <v>600000</v>
      </c>
      <c r="BI16" s="52"/>
      <c r="BJ16" s="9"/>
      <c r="BK16" s="22">
        <f t="shared" si="51"/>
        <v>10</v>
      </c>
      <c r="BL16" s="8">
        <f t="shared" si="52"/>
        <v>600000</v>
      </c>
      <c r="BM16" s="52"/>
      <c r="BN16" s="9"/>
      <c r="BO16" s="22">
        <f t="shared" si="53"/>
        <v>10</v>
      </c>
      <c r="BP16" s="8">
        <f t="shared" si="54"/>
        <v>600000</v>
      </c>
      <c r="BQ16" s="52"/>
      <c r="BR16" s="9"/>
      <c r="BS16" s="22">
        <f t="shared" si="55"/>
        <v>10</v>
      </c>
      <c r="BT16" s="8">
        <f t="shared" si="56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5"/>
        <v>10</v>
      </c>
      <c r="T17" s="8">
        <f t="shared" si="36"/>
        <v>250000</v>
      </c>
      <c r="U17" s="52"/>
      <c r="V17" s="9" t="s">
        <v>48</v>
      </c>
      <c r="W17" s="22">
        <f t="shared" si="37"/>
        <v>10</v>
      </c>
      <c r="X17" s="8">
        <f t="shared" si="30"/>
        <v>250000</v>
      </c>
      <c r="Y17" s="52"/>
      <c r="Z17" s="9" t="s">
        <v>48</v>
      </c>
      <c r="AA17" s="22">
        <f t="shared" si="38"/>
        <v>10</v>
      </c>
      <c r="AB17" s="8">
        <f t="shared" si="63"/>
        <v>250000</v>
      </c>
      <c r="AC17" s="52"/>
      <c r="AD17" s="9" t="s">
        <v>48</v>
      </c>
      <c r="AE17" s="22">
        <f t="shared" si="39"/>
        <v>10</v>
      </c>
      <c r="AF17" s="8">
        <v>350000</v>
      </c>
      <c r="AG17" s="52"/>
      <c r="AH17" s="9" t="s">
        <v>48</v>
      </c>
      <c r="AI17" s="22">
        <f t="shared" si="40"/>
        <v>10</v>
      </c>
      <c r="AJ17" s="8">
        <f t="shared" si="32"/>
        <v>350000</v>
      </c>
      <c r="AK17" s="52"/>
      <c r="AL17" s="9" t="s">
        <v>48</v>
      </c>
      <c r="AM17" s="22">
        <f t="shared" si="41"/>
        <v>10</v>
      </c>
      <c r="AN17" s="8">
        <f t="shared" si="33"/>
        <v>350000</v>
      </c>
      <c r="AO17" s="52"/>
      <c r="AP17" s="9" t="s">
        <v>48</v>
      </c>
      <c r="AQ17" s="22">
        <f t="shared" si="42"/>
        <v>10</v>
      </c>
      <c r="AR17" s="8">
        <f t="shared" si="43"/>
        <v>350000</v>
      </c>
      <c r="AS17" s="52"/>
      <c r="AT17" s="9"/>
      <c r="AU17" s="22">
        <f t="shared" si="44"/>
        <v>10</v>
      </c>
      <c r="AV17" s="8">
        <f t="shared" si="34"/>
        <v>350000</v>
      </c>
      <c r="AW17" s="52"/>
      <c r="AX17" s="9"/>
      <c r="AY17" s="22">
        <f t="shared" si="45"/>
        <v>10</v>
      </c>
      <c r="AZ17" s="8">
        <f t="shared" si="46"/>
        <v>350000</v>
      </c>
      <c r="BA17" s="52"/>
      <c r="BB17" s="9"/>
      <c r="BC17" s="22">
        <f t="shared" si="47"/>
        <v>10</v>
      </c>
      <c r="BD17" s="8">
        <f t="shared" si="48"/>
        <v>350000</v>
      </c>
      <c r="BE17" s="52"/>
      <c r="BF17" s="9"/>
      <c r="BG17" s="22">
        <f t="shared" si="49"/>
        <v>10</v>
      </c>
      <c r="BH17" s="8">
        <f t="shared" si="50"/>
        <v>350000</v>
      </c>
      <c r="BI17" s="52"/>
      <c r="BJ17" s="9"/>
      <c r="BK17" s="22">
        <f t="shared" si="51"/>
        <v>10</v>
      </c>
      <c r="BL17" s="8">
        <f t="shared" si="52"/>
        <v>350000</v>
      </c>
      <c r="BM17" s="52"/>
      <c r="BN17" s="9"/>
      <c r="BO17" s="22">
        <f t="shared" si="53"/>
        <v>10</v>
      </c>
      <c r="BP17" s="8">
        <f t="shared" si="54"/>
        <v>350000</v>
      </c>
      <c r="BQ17" s="52"/>
      <c r="BR17" s="9"/>
      <c r="BS17" s="22">
        <f t="shared" si="55"/>
        <v>10</v>
      </c>
      <c r="BT17" s="8">
        <f t="shared" si="56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5"/>
        <v>10</v>
      </c>
      <c r="T18" s="8">
        <f t="shared" si="36"/>
        <v>450000</v>
      </c>
      <c r="U18" s="52"/>
      <c r="V18" s="9" t="s">
        <v>48</v>
      </c>
      <c r="W18" s="22">
        <f t="shared" si="37"/>
        <v>10</v>
      </c>
      <c r="X18" s="8">
        <f t="shared" si="30"/>
        <v>450000</v>
      </c>
      <c r="Y18" s="52"/>
      <c r="Z18" s="9" t="s">
        <v>48</v>
      </c>
      <c r="AA18" s="22">
        <f t="shared" si="38"/>
        <v>10</v>
      </c>
      <c r="AB18" s="8">
        <v>500000</v>
      </c>
      <c r="AC18" s="52"/>
      <c r="AD18" s="9" t="s">
        <v>48</v>
      </c>
      <c r="AE18" s="22">
        <f t="shared" si="39"/>
        <v>10</v>
      </c>
      <c r="AF18" s="8">
        <v>550000</v>
      </c>
      <c r="AG18" s="52"/>
      <c r="AH18" s="9" t="s">
        <v>48</v>
      </c>
      <c r="AI18" s="22">
        <f t="shared" si="40"/>
        <v>10</v>
      </c>
      <c r="AJ18" s="8">
        <f>+AF18-125000</f>
        <v>425000</v>
      </c>
      <c r="AK18" s="50"/>
      <c r="AL18" s="9" t="s">
        <v>48</v>
      </c>
      <c r="AM18" s="22">
        <f t="shared" si="41"/>
        <v>10</v>
      </c>
      <c r="AN18" s="8">
        <v>430000</v>
      </c>
      <c r="AO18" s="52"/>
      <c r="AP18" s="9" t="s">
        <v>48</v>
      </c>
      <c r="AQ18" s="22">
        <f t="shared" si="42"/>
        <v>10</v>
      </c>
      <c r="AR18" s="8">
        <f t="shared" si="43"/>
        <v>430000</v>
      </c>
      <c r="AS18" s="52"/>
      <c r="AT18" s="9"/>
      <c r="AU18" s="22">
        <f t="shared" si="44"/>
        <v>10</v>
      </c>
      <c r="AV18" s="8">
        <f t="shared" si="34"/>
        <v>430000</v>
      </c>
      <c r="AW18" s="52"/>
      <c r="AX18" s="9"/>
      <c r="AY18" s="22">
        <f t="shared" si="45"/>
        <v>10</v>
      </c>
      <c r="AZ18" s="8">
        <f t="shared" si="46"/>
        <v>430000</v>
      </c>
      <c r="BA18" s="52"/>
      <c r="BB18" s="9"/>
      <c r="BC18" s="22">
        <f t="shared" si="47"/>
        <v>10</v>
      </c>
      <c r="BD18" s="8">
        <f t="shared" si="48"/>
        <v>430000</v>
      </c>
      <c r="BE18" s="52"/>
      <c r="BF18" s="9"/>
      <c r="BG18" s="22">
        <f t="shared" si="49"/>
        <v>10</v>
      </c>
      <c r="BH18" s="8">
        <f t="shared" si="50"/>
        <v>430000</v>
      </c>
      <c r="BI18" s="52"/>
      <c r="BJ18" s="9"/>
      <c r="BK18" s="22">
        <f t="shared" si="51"/>
        <v>10</v>
      </c>
      <c r="BL18" s="8">
        <f t="shared" si="52"/>
        <v>430000</v>
      </c>
      <c r="BM18" s="52"/>
      <c r="BN18" s="9"/>
      <c r="BO18" s="22">
        <f t="shared" si="53"/>
        <v>10</v>
      </c>
      <c r="BP18" s="8">
        <f t="shared" si="54"/>
        <v>430000</v>
      </c>
      <c r="BQ18" s="52"/>
      <c r="BR18" s="9"/>
      <c r="BS18" s="22">
        <f t="shared" si="55"/>
        <v>10</v>
      </c>
      <c r="BT18" s="8">
        <f t="shared" si="56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5"/>
        <v>10</v>
      </c>
      <c r="T19" s="8">
        <f t="shared" si="36"/>
        <v>145000</v>
      </c>
      <c r="U19" s="52"/>
      <c r="V19" s="9" t="s">
        <v>48</v>
      </c>
      <c r="W19" s="22">
        <f t="shared" si="37"/>
        <v>10</v>
      </c>
      <c r="X19" s="8">
        <v>150000</v>
      </c>
      <c r="Y19" s="52"/>
      <c r="Z19" s="9" t="s">
        <v>48</v>
      </c>
      <c r="AA19" s="22">
        <f t="shared" si="38"/>
        <v>10</v>
      </c>
      <c r="AB19" s="8">
        <f t="shared" si="63"/>
        <v>150000</v>
      </c>
      <c r="AC19" s="52"/>
      <c r="AD19" s="9" t="s">
        <v>48</v>
      </c>
      <c r="AE19" s="22">
        <f t="shared" si="39"/>
        <v>10</v>
      </c>
      <c r="AF19" s="8">
        <f t="shared" si="31"/>
        <v>150000</v>
      </c>
      <c r="AG19" s="52"/>
      <c r="AH19" s="9" t="s">
        <v>48</v>
      </c>
      <c r="AI19" s="22">
        <f t="shared" si="40"/>
        <v>10</v>
      </c>
      <c r="AJ19" s="8">
        <f t="shared" si="32"/>
        <v>150000</v>
      </c>
      <c r="AK19" s="52"/>
      <c r="AL19" s="9" t="s">
        <v>48</v>
      </c>
      <c r="AM19" s="22">
        <f t="shared" si="41"/>
        <v>10</v>
      </c>
      <c r="AN19" s="8">
        <v>165000</v>
      </c>
      <c r="AO19" s="52"/>
      <c r="AP19" s="9" t="s">
        <v>48</v>
      </c>
      <c r="AQ19" s="22">
        <f t="shared" si="42"/>
        <v>10</v>
      </c>
      <c r="AR19" s="8">
        <f t="shared" si="43"/>
        <v>165000</v>
      </c>
      <c r="AS19" s="52"/>
      <c r="AT19" s="9"/>
      <c r="AU19" s="22">
        <f t="shared" si="44"/>
        <v>10</v>
      </c>
      <c r="AV19" s="8">
        <f t="shared" si="34"/>
        <v>165000</v>
      </c>
      <c r="AW19" s="52"/>
      <c r="AX19" s="9"/>
      <c r="AY19" s="22">
        <f t="shared" si="45"/>
        <v>10</v>
      </c>
      <c r="AZ19" s="8">
        <f t="shared" si="46"/>
        <v>165000</v>
      </c>
      <c r="BA19" s="52"/>
      <c r="BB19" s="9"/>
      <c r="BC19" s="22">
        <f t="shared" si="47"/>
        <v>10</v>
      </c>
      <c r="BD19" s="8">
        <f t="shared" si="48"/>
        <v>165000</v>
      </c>
      <c r="BE19" s="52"/>
      <c r="BF19" s="9"/>
      <c r="BG19" s="22">
        <f t="shared" si="49"/>
        <v>10</v>
      </c>
      <c r="BH19" s="8">
        <f t="shared" si="50"/>
        <v>165000</v>
      </c>
      <c r="BI19" s="52"/>
      <c r="BJ19" s="9"/>
      <c r="BK19" s="22">
        <f t="shared" si="51"/>
        <v>10</v>
      </c>
      <c r="BL19" s="8">
        <f t="shared" si="52"/>
        <v>165000</v>
      </c>
      <c r="BM19" s="52"/>
      <c r="BN19" s="9"/>
      <c r="BO19" s="22">
        <f t="shared" si="53"/>
        <v>10</v>
      </c>
      <c r="BP19" s="8">
        <f t="shared" si="54"/>
        <v>165000</v>
      </c>
      <c r="BQ19" s="52"/>
      <c r="BR19" s="9"/>
      <c r="BS19" s="22">
        <f t="shared" si="55"/>
        <v>10</v>
      </c>
      <c r="BT19" s="8">
        <f t="shared" si="56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5"/>
        <v>20</v>
      </c>
      <c r="T20" s="8">
        <f t="shared" si="36"/>
        <v>375705</v>
      </c>
      <c r="U20" s="52"/>
      <c r="V20" s="9" t="s">
        <v>48</v>
      </c>
      <c r="W20" s="22">
        <f t="shared" si="37"/>
        <v>20</v>
      </c>
      <c r="X20" s="8">
        <v>401600</v>
      </c>
      <c r="Y20" s="52"/>
      <c r="Z20" s="9" t="s">
        <v>48</v>
      </c>
      <c r="AA20" s="22">
        <f t="shared" si="38"/>
        <v>20</v>
      </c>
      <c r="AB20" s="8">
        <f t="shared" si="63"/>
        <v>401600</v>
      </c>
      <c r="AC20" s="52"/>
      <c r="AD20" s="9" t="s">
        <v>48</v>
      </c>
      <c r="AE20" s="22">
        <f t="shared" si="39"/>
        <v>20</v>
      </c>
      <c r="AF20" s="8">
        <v>400207</v>
      </c>
      <c r="AG20" s="52"/>
      <c r="AH20" s="9" t="s">
        <v>48</v>
      </c>
      <c r="AI20" s="22">
        <f t="shared" si="40"/>
        <v>20</v>
      </c>
      <c r="AJ20" s="8">
        <v>390678</v>
      </c>
      <c r="AK20" s="52"/>
      <c r="AL20" s="9" t="s">
        <v>48</v>
      </c>
      <c r="AM20" s="22">
        <f t="shared" si="41"/>
        <v>20</v>
      </c>
      <c r="AN20" s="8">
        <f t="shared" si="33"/>
        <v>390678</v>
      </c>
      <c r="AO20" s="52"/>
      <c r="AP20" s="9"/>
      <c r="AQ20" s="22">
        <f t="shared" si="42"/>
        <v>20</v>
      </c>
      <c r="AR20" s="8">
        <f t="shared" si="43"/>
        <v>390678</v>
      </c>
      <c r="AS20" s="52"/>
      <c r="AT20" s="9"/>
      <c r="AU20" s="22">
        <f t="shared" si="44"/>
        <v>20</v>
      </c>
      <c r="AV20" s="8">
        <f t="shared" si="34"/>
        <v>390678</v>
      </c>
      <c r="AW20" s="52"/>
      <c r="AX20" s="9"/>
      <c r="AY20" s="22">
        <f t="shared" si="45"/>
        <v>20</v>
      </c>
      <c r="AZ20" s="8">
        <f t="shared" si="46"/>
        <v>390678</v>
      </c>
      <c r="BA20" s="52"/>
      <c r="BB20" s="9"/>
      <c r="BC20" s="22">
        <f t="shared" si="47"/>
        <v>20</v>
      </c>
      <c r="BD20" s="8">
        <f t="shared" si="48"/>
        <v>390678</v>
      </c>
      <c r="BE20" s="52"/>
      <c r="BF20" s="9"/>
      <c r="BG20" s="22">
        <f t="shared" si="49"/>
        <v>20</v>
      </c>
      <c r="BH20" s="8">
        <f t="shared" si="50"/>
        <v>390678</v>
      </c>
      <c r="BI20" s="52"/>
      <c r="BJ20" s="9"/>
      <c r="BK20" s="22">
        <f t="shared" si="51"/>
        <v>20</v>
      </c>
      <c r="BL20" s="8">
        <f t="shared" si="52"/>
        <v>390678</v>
      </c>
      <c r="BM20" s="52"/>
      <c r="BN20" s="9"/>
      <c r="BO20" s="22">
        <f t="shared" si="53"/>
        <v>20</v>
      </c>
      <c r="BP20" s="8">
        <f t="shared" si="54"/>
        <v>390678</v>
      </c>
      <c r="BQ20" s="52"/>
      <c r="BR20" s="9"/>
      <c r="BS20" s="22">
        <f t="shared" si="55"/>
        <v>20</v>
      </c>
      <c r="BT20" s="8">
        <f t="shared" si="56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5"/>
        <v>20</v>
      </c>
      <c r="T21" s="8">
        <f t="shared" si="36"/>
        <v>302500</v>
      </c>
      <c r="U21" s="52"/>
      <c r="V21" s="9" t="s">
        <v>48</v>
      </c>
      <c r="W21" s="22">
        <f t="shared" si="37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5"/>
        <v>25</v>
      </c>
      <c r="T22" s="8">
        <f t="shared" si="36"/>
        <v>174636</v>
      </c>
      <c r="U22" s="52"/>
      <c r="V22" s="9" t="s">
        <v>48</v>
      </c>
      <c r="W22" s="22">
        <f t="shared" si="37"/>
        <v>25</v>
      </c>
      <c r="X22" s="8">
        <f t="shared" si="30"/>
        <v>174636</v>
      </c>
      <c r="Y22" s="52"/>
      <c r="Z22" s="9"/>
      <c r="AA22" s="22">
        <f t="shared" si="38"/>
        <v>25</v>
      </c>
      <c r="AB22" s="8">
        <f t="shared" si="63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5"/>
        <v>7</v>
      </c>
      <c r="T23" s="8">
        <f>+P23</f>
        <v>80540.72</v>
      </c>
      <c r="U23" s="52"/>
      <c r="V23" s="9" t="s">
        <v>48</v>
      </c>
      <c r="W23" s="22">
        <f t="shared" si="37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9"/>
        <v>5</v>
      </c>
      <c r="AF23" s="8">
        <v>87936</v>
      </c>
      <c r="AG23" s="52"/>
      <c r="AH23" s="9" t="s">
        <v>48</v>
      </c>
      <c r="AI23" s="22">
        <f t="shared" si="40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2"/>
        <v>1</v>
      </c>
      <c r="AR23" s="8">
        <f>+AN23</f>
        <v>90342</v>
      </c>
      <c r="AS23" s="52"/>
      <c r="AT23" s="9"/>
      <c r="AU23" s="22">
        <f t="shared" si="44"/>
        <v>1</v>
      </c>
      <c r="AV23" s="8">
        <f>+AR23</f>
        <v>90342</v>
      </c>
      <c r="AW23" s="52"/>
      <c r="AX23" s="9"/>
      <c r="AY23" s="22">
        <f t="shared" ref="AY23:AY27" si="64">+AU23</f>
        <v>1</v>
      </c>
      <c r="AZ23" s="8">
        <f>+AV23</f>
        <v>90342</v>
      </c>
      <c r="BA23" s="52"/>
      <c r="BB23" s="9"/>
      <c r="BC23" s="22">
        <f t="shared" ref="BC23:BC27" si="65">+AY23</f>
        <v>1</v>
      </c>
      <c r="BD23" s="8">
        <f>+AZ23</f>
        <v>90342</v>
      </c>
      <c r="BE23" s="52"/>
      <c r="BF23" s="9"/>
      <c r="BG23" s="22">
        <f t="shared" ref="BG23:BG27" si="66">+BC23</f>
        <v>1</v>
      </c>
      <c r="BH23" s="8">
        <f>+BD23</f>
        <v>90342</v>
      </c>
      <c r="BI23" s="52"/>
      <c r="BJ23" s="9"/>
      <c r="BK23" s="22">
        <f t="shared" ref="BK23:BK27" si="67">+BG23</f>
        <v>1</v>
      </c>
      <c r="BL23" s="8">
        <f>+BH23</f>
        <v>90342</v>
      </c>
      <c r="BM23" s="52"/>
      <c r="BN23" s="9"/>
      <c r="BO23" s="22">
        <f t="shared" ref="BO23:BO27" si="68">+BK23</f>
        <v>1</v>
      </c>
      <c r="BP23" s="8">
        <f>+BL23</f>
        <v>90342</v>
      </c>
      <c r="BQ23" s="52"/>
      <c r="BR23" s="9"/>
      <c r="BS23" s="22">
        <f t="shared" ref="BS23:BS27" si="69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5"/>
        <v>9</v>
      </c>
      <c r="T24" s="8">
        <f t="shared" ref="T24:T27" si="70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9"/>
        <v>12</v>
      </c>
      <c r="AF24" s="8">
        <f>544164+167163+148734</f>
        <v>860061</v>
      </c>
      <c r="AG24" s="52"/>
      <c r="AH24" s="9" t="s">
        <v>48</v>
      </c>
      <c r="AI24" s="22">
        <f t="shared" si="40"/>
        <v>12</v>
      </c>
      <c r="AJ24" s="8">
        <f t="shared" ref="AJ24" si="71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2"/>
        <v>10</v>
      </c>
      <c r="AR24" s="8">
        <f t="shared" ref="AR24:AR27" si="72">+AN24</f>
        <v>831762</v>
      </c>
      <c r="AS24" s="52"/>
      <c r="AT24" s="9"/>
      <c r="AU24" s="22">
        <f t="shared" si="44"/>
        <v>10</v>
      </c>
      <c r="AV24" s="8">
        <f t="shared" ref="AV24:AV27" si="73">+AR24</f>
        <v>831762</v>
      </c>
      <c r="AW24" s="52"/>
      <c r="AX24" s="9"/>
      <c r="AY24" s="22">
        <f t="shared" si="64"/>
        <v>10</v>
      </c>
      <c r="AZ24" s="8">
        <f t="shared" ref="AZ24:AZ27" si="74">+AV24</f>
        <v>831762</v>
      </c>
      <c r="BA24" s="52"/>
      <c r="BB24" s="9"/>
      <c r="BC24" s="22">
        <f t="shared" si="65"/>
        <v>10</v>
      </c>
      <c r="BD24" s="8">
        <f t="shared" ref="BD24:BD27" si="75">+AZ24</f>
        <v>831762</v>
      </c>
      <c r="BE24" s="52"/>
      <c r="BF24" s="9"/>
      <c r="BG24" s="22">
        <f t="shared" si="66"/>
        <v>10</v>
      </c>
      <c r="BH24" s="8">
        <f t="shared" ref="BH24:BH27" si="76">+BD24</f>
        <v>831762</v>
      </c>
      <c r="BI24" s="52"/>
      <c r="BJ24" s="9"/>
      <c r="BK24" s="22">
        <f t="shared" si="67"/>
        <v>10</v>
      </c>
      <c r="BL24" s="8">
        <f t="shared" ref="BL24:BL27" si="77">+BH24</f>
        <v>831762</v>
      </c>
      <c r="BM24" s="52"/>
      <c r="BN24" s="9"/>
      <c r="BO24" s="22">
        <f t="shared" si="68"/>
        <v>10</v>
      </c>
      <c r="BP24" s="8">
        <f t="shared" ref="BP24:BP27" si="78">+BL24</f>
        <v>831762</v>
      </c>
      <c r="BQ24" s="52"/>
      <c r="BR24" s="9"/>
      <c r="BS24" s="22">
        <f t="shared" si="69"/>
        <v>10</v>
      </c>
      <c r="BT24" s="8">
        <f t="shared" ref="BT24:BT27" si="79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5"/>
        <v>10</v>
      </c>
      <c r="T25" s="8">
        <f t="shared" si="70"/>
        <v>45000</v>
      </c>
      <c r="U25" s="52"/>
      <c r="V25" s="9" t="s">
        <v>48</v>
      </c>
      <c r="W25" s="22">
        <f t="shared" si="37"/>
        <v>10</v>
      </c>
      <c r="X25" s="8">
        <f t="shared" ref="X25:X27" si="80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9"/>
        <v>16</v>
      </c>
      <c r="AF25" s="8">
        <f t="shared" ref="AF25:AF27" si="81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2"/>
        <v>1</v>
      </c>
      <c r="AR25" s="8">
        <f t="shared" si="72"/>
        <v>52280</v>
      </c>
      <c r="AS25" s="52"/>
      <c r="AT25" s="9"/>
      <c r="AU25" s="22">
        <f t="shared" si="44"/>
        <v>1</v>
      </c>
      <c r="AV25" s="8">
        <f t="shared" si="73"/>
        <v>52280</v>
      </c>
      <c r="AW25" s="52"/>
      <c r="AX25" s="9"/>
      <c r="AY25" s="22">
        <f t="shared" si="64"/>
        <v>1</v>
      </c>
      <c r="AZ25" s="8">
        <f t="shared" si="74"/>
        <v>52280</v>
      </c>
      <c r="BA25" s="52"/>
      <c r="BB25" s="9"/>
      <c r="BC25" s="22">
        <f t="shared" si="65"/>
        <v>1</v>
      </c>
      <c r="BD25" s="8">
        <f t="shared" si="75"/>
        <v>52280</v>
      </c>
      <c r="BE25" s="52"/>
      <c r="BF25" s="9"/>
      <c r="BG25" s="22">
        <f t="shared" si="66"/>
        <v>1</v>
      </c>
      <c r="BH25" s="8">
        <f t="shared" si="76"/>
        <v>52280</v>
      </c>
      <c r="BI25" s="52"/>
      <c r="BJ25" s="9"/>
      <c r="BK25" s="22">
        <f t="shared" si="67"/>
        <v>1</v>
      </c>
      <c r="BL25" s="8">
        <f t="shared" si="77"/>
        <v>52280</v>
      </c>
      <c r="BM25" s="52"/>
      <c r="BN25" s="9"/>
      <c r="BO25" s="22">
        <f t="shared" si="68"/>
        <v>1</v>
      </c>
      <c r="BP25" s="8">
        <f t="shared" si="78"/>
        <v>52280</v>
      </c>
      <c r="BQ25" s="52"/>
      <c r="BR25" s="9"/>
      <c r="BS25" s="22">
        <f t="shared" si="69"/>
        <v>1</v>
      </c>
      <c r="BT25" s="8">
        <f t="shared" si="79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>SI</v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5"/>
        <v>10</v>
      </c>
      <c r="T26" s="8">
        <f t="shared" si="70"/>
        <v>45000</v>
      </c>
      <c r="U26" s="52"/>
      <c r="V26" s="9" t="s">
        <v>48</v>
      </c>
      <c r="W26" s="22">
        <f t="shared" si="37"/>
        <v>10</v>
      </c>
      <c r="X26" s="8">
        <f t="shared" si="80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9"/>
        <v>16</v>
      </c>
      <c r="AF26" s="8">
        <f t="shared" si="81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2"/>
        <v>1</v>
      </c>
      <c r="AR26" s="8">
        <f t="shared" si="72"/>
        <v>52280</v>
      </c>
      <c r="AS26" s="52"/>
      <c r="AT26" s="9"/>
      <c r="AU26" s="22">
        <f t="shared" si="44"/>
        <v>1</v>
      </c>
      <c r="AV26" s="8">
        <f t="shared" si="73"/>
        <v>52280</v>
      </c>
      <c r="AW26" s="52"/>
      <c r="AX26" s="9"/>
      <c r="AY26" s="22">
        <f t="shared" si="64"/>
        <v>1</v>
      </c>
      <c r="AZ26" s="8">
        <f t="shared" si="74"/>
        <v>52280</v>
      </c>
      <c r="BA26" s="52"/>
      <c r="BB26" s="9"/>
      <c r="BC26" s="22">
        <f t="shared" si="65"/>
        <v>1</v>
      </c>
      <c r="BD26" s="8">
        <f t="shared" si="75"/>
        <v>52280</v>
      </c>
      <c r="BE26" s="52"/>
      <c r="BF26" s="9"/>
      <c r="BG26" s="22">
        <f t="shared" si="66"/>
        <v>1</v>
      </c>
      <c r="BH26" s="8">
        <f t="shared" si="76"/>
        <v>52280</v>
      </c>
      <c r="BI26" s="52"/>
      <c r="BJ26" s="9"/>
      <c r="BK26" s="22">
        <f t="shared" si="67"/>
        <v>1</v>
      </c>
      <c r="BL26" s="8">
        <f t="shared" si="77"/>
        <v>52280</v>
      </c>
      <c r="BM26" s="52"/>
      <c r="BN26" s="9"/>
      <c r="BO26" s="22">
        <f t="shared" si="68"/>
        <v>1</v>
      </c>
      <c r="BP26" s="8">
        <f t="shared" si="78"/>
        <v>52280</v>
      </c>
      <c r="BQ26" s="52"/>
      <c r="BR26" s="9"/>
      <c r="BS26" s="22">
        <f t="shared" si="69"/>
        <v>1</v>
      </c>
      <c r="BT26" s="8">
        <f t="shared" si="79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2">
        <f ca="1"/>
        <v>1311628.8700000001</v>
      </c>
      <c r="D27" s="134" t="str">
        <f ca="1"/>
        <v/>
      </c>
      <c r="E27" s="135" t="str">
        <f ca="1"/>
        <v>SI</v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5"/>
        <v>10</v>
      </c>
      <c r="T27" s="8">
        <f t="shared" si="70"/>
        <v>45000</v>
      </c>
      <c r="U27" s="52"/>
      <c r="V27" s="9" t="s">
        <v>48</v>
      </c>
      <c r="W27" s="22">
        <f t="shared" si="37"/>
        <v>10</v>
      </c>
      <c r="X27" s="8">
        <f t="shared" si="80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9"/>
        <v>16</v>
      </c>
      <c r="AF27" s="8">
        <f t="shared" si="81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2"/>
        <v>1</v>
      </c>
      <c r="AR27" s="8">
        <f t="shared" si="72"/>
        <v>42246</v>
      </c>
      <c r="AS27" s="52"/>
      <c r="AT27" s="9"/>
      <c r="AU27" s="22">
        <f t="shared" si="44"/>
        <v>1</v>
      </c>
      <c r="AV27" s="8">
        <f t="shared" si="73"/>
        <v>42246</v>
      </c>
      <c r="AW27" s="52"/>
      <c r="AX27" s="9"/>
      <c r="AY27" s="22">
        <f t="shared" si="64"/>
        <v>1</v>
      </c>
      <c r="AZ27" s="8">
        <f t="shared" si="74"/>
        <v>42246</v>
      </c>
      <c r="BA27" s="52"/>
      <c r="BB27" s="9"/>
      <c r="BC27" s="22">
        <f t="shared" si="65"/>
        <v>1</v>
      </c>
      <c r="BD27" s="8">
        <f t="shared" si="75"/>
        <v>42246</v>
      </c>
      <c r="BE27" s="52"/>
      <c r="BF27" s="9"/>
      <c r="BG27" s="22">
        <f t="shared" si="66"/>
        <v>1</v>
      </c>
      <c r="BH27" s="8">
        <f t="shared" si="76"/>
        <v>42246</v>
      </c>
      <c r="BI27" s="52"/>
      <c r="BJ27" s="9"/>
      <c r="BK27" s="22">
        <f t="shared" si="67"/>
        <v>1</v>
      </c>
      <c r="BL27" s="8">
        <f t="shared" si="77"/>
        <v>42246</v>
      </c>
      <c r="BM27" s="52"/>
      <c r="BN27" s="9"/>
      <c r="BO27" s="22">
        <f t="shared" si="68"/>
        <v>1</v>
      </c>
      <c r="BP27" s="8">
        <f t="shared" si="78"/>
        <v>42246</v>
      </c>
      <c r="BQ27" s="52"/>
      <c r="BR27" s="9"/>
      <c r="BS27" s="22">
        <f t="shared" si="69"/>
        <v>1</v>
      </c>
      <c r="BT27" s="8">
        <f t="shared" si="79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>
        <f t="shared" ca="1" si="19"/>
        <v>0</v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>
        <f t="shared" ca="1" si="19"/>
        <v>0</v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/>
      </c>
      <c r="F30" s="135">
        <f t="shared" ca="1" si="19"/>
        <v>2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4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/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7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A35" s="1" t="s">
        <v>290</v>
      </c>
      <c r="B35" s="42"/>
      <c r="C35" s="103">
        <v>631404.27</v>
      </c>
      <c r="D35" s="134"/>
      <c r="E35" s="135"/>
      <c r="F35" s="135" t="str">
        <f t="shared" ca="1" si="19"/>
        <v/>
      </c>
      <c r="G35" s="136" t="str">
        <f t="shared" ca="1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A36" s="1" t="s">
        <v>291</v>
      </c>
      <c r="B36" s="42"/>
      <c r="C36" s="8">
        <f>1213387.2-963387.2</f>
        <v>250000</v>
      </c>
      <c r="D36" s="59"/>
      <c r="E36" s="25"/>
      <c r="F36" s="25" t="str">
        <f t="shared" ca="1" si="19"/>
        <v/>
      </c>
      <c r="G36" s="107" t="str">
        <f t="shared" ca="1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A37" s="160" t="s">
        <v>42</v>
      </c>
      <c r="B37" s="42"/>
      <c r="C37" s="8">
        <f>775426.29-669729.47</f>
        <v>105696.82000000007</v>
      </c>
      <c r="D37" s="59"/>
      <c r="E37" s="25"/>
      <c r="F37" s="25" t="str">
        <f t="shared" ca="1" si="19"/>
        <v/>
      </c>
      <c r="G37" s="107" t="str">
        <f t="shared" si="20"/>
        <v>Ir</v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B38" s="42"/>
      <c r="C38" s="8"/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B39" s="42"/>
      <c r="C39" s="8"/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B40" s="42"/>
      <c r="C40" s="48">
        <f>+SUM(C35:C38)</f>
        <v>987101.09000000008</v>
      </c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B41" s="42"/>
      <c r="C41" s="48" t="s">
        <v>292</v>
      </c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/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7" t="str">
        <f t="shared" ref="G43:G71" si="82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/>
      <c r="D44" s="39"/>
      <c r="E44" s="26"/>
      <c r="F44" s="25" t="str">
        <f t="shared" ca="1" si="19"/>
        <v/>
      </c>
      <c r="G44" s="107" t="str">
        <f t="shared" si="82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12715670.920000002</v>
      </c>
      <c r="AO44" s="6"/>
      <c r="AP44" s="6"/>
      <c r="AQ44" s="4"/>
      <c r="AR44" s="6">
        <f>+SUM(AR3:AR43)</f>
        <v>10154963.920000002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7" t="str">
        <f t="shared" si="82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7" t="str">
        <f t="shared" si="82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4"/>
      <c r="D47" s="40"/>
      <c r="F47" s="25" t="str">
        <f t="shared" ca="1" si="19"/>
        <v/>
      </c>
      <c r="G47" s="107" t="str">
        <f t="shared" si="82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7" t="str">
        <f t="shared" si="82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7" t="str">
        <f t="shared" si="82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7" t="str">
        <f t="shared" si="82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7" t="str">
        <f t="shared" si="82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7" t="str">
        <f t="shared" si="82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7" t="str">
        <f t="shared" si="82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7" t="str">
        <f t="shared" si="82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7" t="str">
        <f t="shared" si="82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7" t="str">
        <f t="shared" si="82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7" t="str">
        <f t="shared" si="82"/>
        <v/>
      </c>
      <c r="H57" s="3" t="s">
        <v>75</v>
      </c>
      <c r="I57" s="37">
        <f ca="1">+SUM(C7:C13)</f>
        <v>481936.70999999996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7" t="str">
        <f t="shared" si="82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7" t="str">
        <f t="shared" si="82"/>
        <v/>
      </c>
      <c r="I59" s="36">
        <f ca="1">+SUM(I54:I58)</f>
        <v>8320936.71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7" t="str">
        <f t="shared" si="82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7" t="str">
        <f t="shared" si="82"/>
        <v/>
      </c>
      <c r="H61" s="62" t="s">
        <v>78</v>
      </c>
      <c r="I61" s="63">
        <f ca="1">+I52-I59</f>
        <v>1472063.29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7" t="str">
        <f t="shared" si="82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7" t="str">
        <f t="shared" si="82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7" t="str">
        <f t="shared" si="82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7" t="str">
        <f t="shared" si="82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7" t="str">
        <f t="shared" si="82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7" t="str">
        <f t="shared" si="82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" x14ac:dyDescent="0.25">
      <c r="D68" s="40"/>
      <c r="F68" s="25" t="str">
        <f t="shared" ca="1" si="19"/>
        <v/>
      </c>
      <c r="G68" s="107" t="str">
        <f t="shared" si="82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3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7" t="str">
        <f t="shared" si="82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3"/>
        <v>40</v>
      </c>
    </row>
    <row r="71" spans="4:220" ht="15" x14ac:dyDescent="0.25">
      <c r="D71" s="40"/>
      <c r="F71" s="25" t="str">
        <f t="shared" ca="1" si="19"/>
        <v/>
      </c>
      <c r="G71" s="107" t="str">
        <f t="shared" si="82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3"/>
        <v>40</v>
      </c>
    </row>
    <row r="72" spans="4:220" x14ac:dyDescent="0.2">
      <c r="D72" s="40"/>
      <c r="F72" s="25" t="str">
        <f t="shared" ref="F72:F78" ca="1" si="84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3"/>
        <v>40</v>
      </c>
    </row>
    <row r="73" spans="4:220" ht="20.25" customHeight="1" x14ac:dyDescent="0.2">
      <c r="D73" s="40"/>
      <c r="F73" s="25" t="str">
        <f t="shared" ca="1" si="84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3"/>
        <v>40</v>
      </c>
    </row>
    <row r="74" spans="4:220" x14ac:dyDescent="0.2">
      <c r="D74" s="40"/>
      <c r="F74" s="25" t="str">
        <f t="shared" ca="1" si="84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3"/>
        <v>40</v>
      </c>
    </row>
    <row r="75" spans="4:220" x14ac:dyDescent="0.2">
      <c r="D75" s="40"/>
      <c r="F75" s="25" t="str">
        <f t="shared" ca="1" si="84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3"/>
        <v>40</v>
      </c>
    </row>
    <row r="76" spans="4:220" x14ac:dyDescent="0.2">
      <c r="D76" s="40"/>
      <c r="F76" s="25" t="str">
        <f t="shared" ca="1" si="84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3"/>
        <v>76</v>
      </c>
    </row>
    <row r="77" spans="4:220" x14ac:dyDescent="0.2">
      <c r="D77" s="40"/>
      <c r="F77" s="25" t="str">
        <f t="shared" ca="1" si="84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3"/>
        <v>76</v>
      </c>
    </row>
    <row r="78" spans="4:220" x14ac:dyDescent="0.2">
      <c r="D78" s="40"/>
      <c r="F78" s="25" t="str">
        <f t="shared" ca="1" si="84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3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3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3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3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3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3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3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3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3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3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3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3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3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3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3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3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3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3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3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3"/>
        <v>76</v>
      </c>
    </row>
    <row r="98" spans="4:220" x14ac:dyDescent="0.2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3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3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3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3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3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3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3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3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3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3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3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3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3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3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3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3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3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3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3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3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3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3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3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3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3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3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3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3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3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3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3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3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3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3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3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5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5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5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5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5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5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5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5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5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5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5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5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5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5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5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5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5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5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5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5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5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5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5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5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5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5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5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5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5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5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5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5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5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5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5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5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5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5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5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5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5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5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5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5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5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5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5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5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5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5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5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5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5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5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5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5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5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5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Autonomo</v>
      </c>
      <c r="HH191" s="1">
        <f ca="1"/>
        <v>1</v>
      </c>
      <c r="HI191" s="4">
        <f ca="1"/>
        <v>90342</v>
      </c>
      <c r="HJ191" s="1" t="str">
        <f ca="1"/>
        <v/>
      </c>
      <c r="HK191" s="1" t="str">
        <f ca="1"/>
        <v>SI</v>
      </c>
      <c r="HL191" s="1">
        <f t="shared" ca="1" si="85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Monotributo IVAN</v>
      </c>
      <c r="HH192" s="1">
        <f ca="1"/>
        <v>1</v>
      </c>
      <c r="HI192" s="4">
        <f ca="1"/>
        <v>52280</v>
      </c>
      <c r="HJ192" s="1" t="str">
        <f ca="1"/>
        <v/>
      </c>
      <c r="HK192" s="1" t="str">
        <f ca="1"/>
        <v>SI</v>
      </c>
      <c r="HL192" s="1">
        <f t="shared" ca="1" si="85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Mayeski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5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David</v>
      </c>
      <c r="HH194" s="1">
        <f ca="1"/>
        <v>1</v>
      </c>
      <c r="HI194" s="4">
        <f ca="1"/>
        <v>42246</v>
      </c>
      <c r="HJ194" s="1" t="str">
        <f ca="1"/>
        <v/>
      </c>
      <c r="HK194" s="1" t="str">
        <f ca="1"/>
        <v>SI</v>
      </c>
      <c r="HL194" s="1">
        <f t="shared" ca="1" si="85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Movistar</v>
      </c>
      <c r="HH195" s="1">
        <f ca="1"/>
        <v>1</v>
      </c>
      <c r="HI195" s="4">
        <f ca="1"/>
        <v>10350</v>
      </c>
      <c r="HJ195" s="1" t="str">
        <f ca="1"/>
        <v/>
      </c>
      <c r="HK195" s="1" t="str">
        <f ca="1"/>
        <v>SI</v>
      </c>
      <c r="HL195" s="1">
        <f t="shared" ca="1" si="85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Victoria Seguros</v>
      </c>
      <c r="HH196" s="1">
        <f ca="1"/>
        <v>1</v>
      </c>
      <c r="HI196" s="4">
        <f ca="1"/>
        <v>123878</v>
      </c>
      <c r="HJ196" s="1" t="str">
        <f ca="1"/>
        <v/>
      </c>
      <c r="HK196" s="1" t="str">
        <f ca="1"/>
        <v>SI</v>
      </c>
      <c r="HL196" s="1">
        <f t="shared" ca="1" si="85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46114</v>
      </c>
      <c r="HG197" s="1" t="str">
        <f ca="1"/>
        <v>Aseg. Motovehicular</v>
      </c>
      <c r="HH197" s="1">
        <f ca="1"/>
        <v>2</v>
      </c>
      <c r="HI197" s="4">
        <f ca="1"/>
        <v>141512.71</v>
      </c>
      <c r="HJ197" s="1" t="str">
        <f ca="1"/>
        <v/>
      </c>
      <c r="HK197" s="1" t="str">
        <f ca="1"/>
        <v>SI</v>
      </c>
      <c r="HL197" s="1">
        <f t="shared" ref="HL197:HL260" ca="1" si="86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Personal Flow</v>
      </c>
      <c r="HH198" s="1">
        <f ca="1"/>
        <v>2</v>
      </c>
      <c r="HI198" s="4">
        <f ca="1"/>
        <v>71670</v>
      </c>
      <c r="HJ198" s="1" t="str">
        <f ca="1"/>
        <v/>
      </c>
      <c r="HK198" s="1" t="str">
        <f ca="1"/>
        <v/>
      </c>
      <c r="HL198" s="1">
        <f t="shared" ca="1" si="86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46118</v>
      </c>
      <c r="HG199" s="1" t="str">
        <f ca="1"/>
        <v>Tarjeta Galicia + MASTER</v>
      </c>
      <c r="HH199" s="1">
        <f ca="1"/>
        <v>6</v>
      </c>
      <c r="HI199" s="4">
        <f ca="1"/>
        <v>40000</v>
      </c>
      <c r="HJ199" s="1" t="str">
        <f ca="1"/>
        <v/>
      </c>
      <c r="HK199" s="1" t="str">
        <f ca="1"/>
        <v>SI</v>
      </c>
      <c r="HL199" s="1">
        <f t="shared" ca="1" si="86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46119</v>
      </c>
      <c r="HG200" s="1" t="str">
        <f ca="1"/>
        <v>Tarjeta ICBC</v>
      </c>
      <c r="HH200" s="1">
        <f ca="1"/>
        <v>7</v>
      </c>
      <c r="HI200" s="4">
        <f ca="1"/>
        <v>40577.730000000003</v>
      </c>
      <c r="HJ200" s="1" t="str">
        <f ca="1"/>
        <v/>
      </c>
      <c r="HK200" s="1" t="str">
        <f ca="1"/>
        <v/>
      </c>
      <c r="HL200" s="1">
        <f t="shared" ca="1" si="86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6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/>
      </c>
      <c r="HL202" s="1">
        <f t="shared" ca="1" si="86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6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6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6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6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6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6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6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6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6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6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6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6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6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/>
      </c>
      <c r="HL216" s="1">
        <f t="shared" ca="1" si="86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6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6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6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6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6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6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6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6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6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6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6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6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6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6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6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6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6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6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6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40577.730000000003</v>
      </c>
      <c r="HJ236" s="1" t="str">
        <f ca="1"/>
        <v/>
      </c>
      <c r="HK236" s="1" t="str">
        <f ca="1"/>
        <v/>
      </c>
      <c r="HL236" s="1">
        <f t="shared" ca="1" si="86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6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6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6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6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6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6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6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6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6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6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6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6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6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6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6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6"/>
        <v>227</v>
      </c>
    </row>
    <row r="253" spans="214:220" x14ac:dyDescent="0.2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6"/>
        <v>227</v>
      </c>
    </row>
    <row r="254" spans="214:220" x14ac:dyDescent="0.2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6"/>
        <v>227</v>
      </c>
    </row>
    <row r="255" spans="214:220" x14ac:dyDescent="0.2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6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6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6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6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6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6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7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7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7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7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7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7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7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7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7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7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7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7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7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40577.730000000003</v>
      </c>
      <c r="HJ274" s="1" t="str">
        <f ca="1"/>
        <v/>
      </c>
      <c r="HK274" s="1" t="str">
        <f ca="1"/>
        <v/>
      </c>
      <c r="HL274" s="1">
        <f t="shared" ca="1" si="87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7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7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7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7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7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7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7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7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7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7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7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7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7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7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7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7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7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7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7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7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7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7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7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7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7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7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7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7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7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7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7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7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7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7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7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7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7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7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7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7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7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7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7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7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7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7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7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7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7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7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8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8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8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8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8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8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8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8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8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8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8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8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8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8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8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8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8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8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8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8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8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8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8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8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8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8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8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8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8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8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8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8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8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8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8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8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8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8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8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8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8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8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8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8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8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8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8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8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8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8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8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8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8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8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8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8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8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8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8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8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8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8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8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8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9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9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9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9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9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9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9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9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9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9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9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9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9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9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9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9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9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9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9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9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9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9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9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9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9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9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9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9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9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9"/>
        <v>417</v>
      </c>
    </row>
    <row r="419" spans="214:220" x14ac:dyDescent="0.2">
      <c r="HL419" s="1">
        <f t="shared" ca="1" si="89"/>
        <v>417</v>
      </c>
    </row>
    <row r="420" spans="214:220" x14ac:dyDescent="0.2">
      <c r="HL420" s="1">
        <f t="shared" ca="1" si="89"/>
        <v>417</v>
      </c>
    </row>
    <row r="421" spans="214:220" x14ac:dyDescent="0.2">
      <c r="HL421" s="1">
        <f t="shared" ca="1" si="89"/>
        <v>417</v>
      </c>
    </row>
    <row r="422" spans="214:220" x14ac:dyDescent="0.2">
      <c r="HL422" s="1">
        <f t="shared" ca="1" si="89"/>
        <v>417</v>
      </c>
    </row>
    <row r="423" spans="214:220" x14ac:dyDescent="0.2">
      <c r="HL423" s="1">
        <f t="shared" ca="1" si="89"/>
        <v>417</v>
      </c>
    </row>
    <row r="424" spans="214:220" x14ac:dyDescent="0.2">
      <c r="HL424" s="1">
        <f t="shared" ca="1" si="89"/>
        <v>417</v>
      </c>
    </row>
    <row r="425" spans="214:220" x14ac:dyDescent="0.2">
      <c r="HL425" s="1">
        <f t="shared" ca="1" si="89"/>
        <v>417</v>
      </c>
    </row>
    <row r="426" spans="214:220" x14ac:dyDescent="0.2">
      <c r="HL426" s="1">
        <f t="shared" ca="1" si="89"/>
        <v>417</v>
      </c>
    </row>
    <row r="427" spans="214:220" x14ac:dyDescent="0.2">
      <c r="HL427" s="1">
        <f t="shared" ca="1" si="89"/>
        <v>417</v>
      </c>
    </row>
    <row r="428" spans="214:220" x14ac:dyDescent="0.2">
      <c r="HL428" s="1">
        <f t="shared" ca="1" si="89"/>
        <v>417</v>
      </c>
    </row>
    <row r="429" spans="214:220" x14ac:dyDescent="0.2">
      <c r="HL429" s="1">
        <f t="shared" ca="1" si="89"/>
        <v>417</v>
      </c>
    </row>
    <row r="430" spans="214:220" x14ac:dyDescent="0.2">
      <c r="HL430" s="1">
        <f t="shared" ca="1" si="89"/>
        <v>417</v>
      </c>
    </row>
    <row r="431" spans="214:220" x14ac:dyDescent="0.2">
      <c r="HL431" s="1">
        <f t="shared" ca="1" si="89"/>
        <v>417</v>
      </c>
    </row>
    <row r="432" spans="214:220" x14ac:dyDescent="0.2">
      <c r="HL432" s="1">
        <f t="shared" ca="1" si="89"/>
        <v>417</v>
      </c>
    </row>
    <row r="433" spans="220:220" x14ac:dyDescent="0.2">
      <c r="HL433" s="1">
        <f t="shared" ca="1" si="89"/>
        <v>417</v>
      </c>
    </row>
    <row r="434" spans="220:220" x14ac:dyDescent="0.2">
      <c r="HL434" s="1">
        <f t="shared" ca="1" si="89"/>
        <v>417</v>
      </c>
    </row>
    <row r="435" spans="220:220" x14ac:dyDescent="0.2">
      <c r="HL435" s="1">
        <f t="shared" ca="1" si="89"/>
        <v>417</v>
      </c>
    </row>
    <row r="436" spans="220:220" x14ac:dyDescent="0.2">
      <c r="HL436" s="1">
        <f t="shared" ca="1" si="89"/>
        <v>417</v>
      </c>
    </row>
    <row r="437" spans="220:220" x14ac:dyDescent="0.2">
      <c r="HL437" s="1">
        <f t="shared" ca="1" si="89"/>
        <v>417</v>
      </c>
    </row>
    <row r="438" spans="220:220" x14ac:dyDescent="0.2">
      <c r="HL438" s="1">
        <f t="shared" ca="1" si="89"/>
        <v>417</v>
      </c>
    </row>
    <row r="439" spans="220:220" x14ac:dyDescent="0.2">
      <c r="HL439" s="1">
        <f t="shared" ca="1" si="89"/>
        <v>417</v>
      </c>
    </row>
    <row r="440" spans="220:220" x14ac:dyDescent="0.2">
      <c r="HL440" s="1">
        <f t="shared" ca="1" si="89"/>
        <v>417</v>
      </c>
    </row>
    <row r="441" spans="220:220" x14ac:dyDescent="0.2">
      <c r="HL441" s="1">
        <f t="shared" ca="1" si="89"/>
        <v>417</v>
      </c>
    </row>
    <row r="442" spans="220:220" x14ac:dyDescent="0.2">
      <c r="HL442" s="1">
        <f t="shared" ca="1" si="89"/>
        <v>417</v>
      </c>
    </row>
    <row r="443" spans="220:220" x14ac:dyDescent="0.2">
      <c r="HL443" s="1">
        <f t="shared" ca="1" si="89"/>
        <v>417</v>
      </c>
    </row>
    <row r="444" spans="220:220" x14ac:dyDescent="0.2">
      <c r="HL444" s="1">
        <f t="shared" ca="1" si="89"/>
        <v>417</v>
      </c>
    </row>
    <row r="445" spans="220:220" x14ac:dyDescent="0.2">
      <c r="HL445" s="1">
        <f t="shared" ca="1" si="89"/>
        <v>417</v>
      </c>
    </row>
    <row r="446" spans="220:220" x14ac:dyDescent="0.2">
      <c r="HL446" s="1">
        <f t="shared" ca="1" si="89"/>
        <v>417</v>
      </c>
    </row>
    <row r="447" spans="220:220" x14ac:dyDescent="0.2">
      <c r="HL447" s="1">
        <f t="shared" ca="1" si="89"/>
        <v>417</v>
      </c>
    </row>
    <row r="448" spans="220:220" x14ac:dyDescent="0.2">
      <c r="HL448" s="1">
        <f t="shared" ca="1" si="89"/>
        <v>417</v>
      </c>
    </row>
    <row r="449" spans="220:220" x14ac:dyDescent="0.2">
      <c r="HL449" s="1">
        <f t="shared" ca="1" si="89"/>
        <v>417</v>
      </c>
    </row>
    <row r="450" spans="220:220" x14ac:dyDescent="0.2">
      <c r="HL450" s="1">
        <f t="shared" ca="1" si="89"/>
        <v>417</v>
      </c>
    </row>
    <row r="451" spans="220:220" x14ac:dyDescent="0.2">
      <c r="HL451" s="1">
        <f t="shared" ca="1" si="89"/>
        <v>417</v>
      </c>
    </row>
    <row r="452" spans="220:220" x14ac:dyDescent="0.2">
      <c r="HL452" s="1">
        <f t="shared" ca="1" si="89"/>
        <v>417</v>
      </c>
    </row>
    <row r="453" spans="220:220" x14ac:dyDescent="0.2">
      <c r="HL453" s="1">
        <f t="shared" ref="HL453:HL516" ca="1" si="90">+IF(ISNUMBER(HG453),ROW(),HL452)</f>
        <v>417</v>
      </c>
    </row>
    <row r="454" spans="220:220" x14ac:dyDescent="0.2">
      <c r="HL454" s="1">
        <f t="shared" ca="1" si="90"/>
        <v>417</v>
      </c>
    </row>
    <row r="455" spans="220:220" x14ac:dyDescent="0.2">
      <c r="HL455" s="1">
        <f t="shared" ca="1" si="90"/>
        <v>417</v>
      </c>
    </row>
    <row r="456" spans="220:220" x14ac:dyDescent="0.2">
      <c r="HL456" s="1">
        <f t="shared" ca="1" si="90"/>
        <v>417</v>
      </c>
    </row>
    <row r="457" spans="220:220" x14ac:dyDescent="0.2">
      <c r="HL457" s="1">
        <f t="shared" ca="1" si="90"/>
        <v>417</v>
      </c>
    </row>
    <row r="458" spans="220:220" x14ac:dyDescent="0.2">
      <c r="HL458" s="1">
        <f t="shared" ca="1" si="90"/>
        <v>417</v>
      </c>
    </row>
    <row r="459" spans="220:220" x14ac:dyDescent="0.2">
      <c r="HL459" s="1">
        <f t="shared" ca="1" si="90"/>
        <v>417</v>
      </c>
    </row>
    <row r="460" spans="220:220" x14ac:dyDescent="0.2">
      <c r="HL460" s="1">
        <f t="shared" ca="1" si="90"/>
        <v>417</v>
      </c>
    </row>
    <row r="461" spans="220:220" x14ac:dyDescent="0.2">
      <c r="HL461" s="1">
        <f t="shared" ca="1" si="90"/>
        <v>417</v>
      </c>
    </row>
    <row r="462" spans="220:220" x14ac:dyDescent="0.2">
      <c r="HL462" s="1">
        <f t="shared" ca="1" si="90"/>
        <v>417</v>
      </c>
    </row>
    <row r="463" spans="220:220" x14ac:dyDescent="0.2">
      <c r="HL463" s="1">
        <f t="shared" ca="1" si="90"/>
        <v>417</v>
      </c>
    </row>
    <row r="464" spans="220:220" x14ac:dyDescent="0.2">
      <c r="HL464" s="1">
        <f t="shared" ca="1" si="90"/>
        <v>417</v>
      </c>
    </row>
    <row r="465" spans="220:220" x14ac:dyDescent="0.2">
      <c r="HL465" s="1">
        <f t="shared" ca="1" si="90"/>
        <v>417</v>
      </c>
    </row>
    <row r="466" spans="220:220" x14ac:dyDescent="0.2">
      <c r="HL466" s="1">
        <f t="shared" ca="1" si="90"/>
        <v>417</v>
      </c>
    </row>
    <row r="467" spans="220:220" x14ac:dyDescent="0.2">
      <c r="HL467" s="1">
        <f t="shared" ca="1" si="90"/>
        <v>417</v>
      </c>
    </row>
    <row r="468" spans="220:220" x14ac:dyDescent="0.2">
      <c r="HL468" s="1">
        <f t="shared" ca="1" si="90"/>
        <v>417</v>
      </c>
    </row>
    <row r="469" spans="220:220" x14ac:dyDescent="0.2">
      <c r="HL469" s="1">
        <f t="shared" ca="1" si="90"/>
        <v>417</v>
      </c>
    </row>
    <row r="470" spans="220:220" x14ac:dyDescent="0.2">
      <c r="HL470" s="1">
        <f t="shared" ca="1" si="90"/>
        <v>417</v>
      </c>
    </row>
    <row r="471" spans="220:220" x14ac:dyDescent="0.2">
      <c r="HL471" s="1">
        <f t="shared" ca="1" si="90"/>
        <v>417</v>
      </c>
    </row>
    <row r="472" spans="220:220" x14ac:dyDescent="0.2">
      <c r="HL472" s="1">
        <f t="shared" ca="1" si="90"/>
        <v>417</v>
      </c>
    </row>
    <row r="473" spans="220:220" x14ac:dyDescent="0.2">
      <c r="HL473" s="1">
        <f t="shared" ca="1" si="90"/>
        <v>417</v>
      </c>
    </row>
    <row r="474" spans="220:220" x14ac:dyDescent="0.2">
      <c r="HL474" s="1">
        <f t="shared" ca="1" si="90"/>
        <v>417</v>
      </c>
    </row>
    <row r="475" spans="220:220" x14ac:dyDescent="0.2">
      <c r="HL475" s="1">
        <f t="shared" ca="1" si="90"/>
        <v>417</v>
      </c>
    </row>
    <row r="476" spans="220:220" x14ac:dyDescent="0.2">
      <c r="HL476" s="1">
        <f t="shared" ca="1" si="90"/>
        <v>417</v>
      </c>
    </row>
    <row r="477" spans="220:220" x14ac:dyDescent="0.2">
      <c r="HL477" s="1">
        <f t="shared" ca="1" si="90"/>
        <v>417</v>
      </c>
    </row>
    <row r="478" spans="220:220" x14ac:dyDescent="0.2">
      <c r="HL478" s="1">
        <f t="shared" ca="1" si="90"/>
        <v>417</v>
      </c>
    </row>
    <row r="479" spans="220:220" x14ac:dyDescent="0.2">
      <c r="HL479" s="1">
        <f t="shared" ca="1" si="90"/>
        <v>417</v>
      </c>
    </row>
    <row r="480" spans="220:220" x14ac:dyDescent="0.2">
      <c r="HL480" s="1">
        <f t="shared" ca="1" si="90"/>
        <v>417</v>
      </c>
    </row>
    <row r="481" spans="220:220" x14ac:dyDescent="0.2">
      <c r="HL481" s="1">
        <f t="shared" ca="1" si="90"/>
        <v>417</v>
      </c>
    </row>
    <row r="482" spans="220:220" x14ac:dyDescent="0.2">
      <c r="HL482" s="1">
        <f t="shared" ca="1" si="90"/>
        <v>417</v>
      </c>
    </row>
    <row r="483" spans="220:220" x14ac:dyDescent="0.2">
      <c r="HL483" s="1">
        <f t="shared" ca="1" si="90"/>
        <v>417</v>
      </c>
    </row>
    <row r="484" spans="220:220" x14ac:dyDescent="0.2">
      <c r="HL484" s="1">
        <f t="shared" ca="1" si="90"/>
        <v>417</v>
      </c>
    </row>
    <row r="485" spans="220:220" x14ac:dyDescent="0.2">
      <c r="HL485" s="1">
        <f t="shared" ca="1" si="90"/>
        <v>417</v>
      </c>
    </row>
    <row r="486" spans="220:220" x14ac:dyDescent="0.2">
      <c r="HL486" s="1">
        <f t="shared" ca="1" si="90"/>
        <v>417</v>
      </c>
    </row>
    <row r="487" spans="220:220" x14ac:dyDescent="0.2">
      <c r="HL487" s="1">
        <f t="shared" ca="1" si="90"/>
        <v>417</v>
      </c>
    </row>
    <row r="488" spans="220:220" x14ac:dyDescent="0.2">
      <c r="HL488" s="1">
        <f t="shared" ca="1" si="90"/>
        <v>417</v>
      </c>
    </row>
    <row r="489" spans="220:220" x14ac:dyDescent="0.2">
      <c r="HL489" s="1">
        <f t="shared" ca="1" si="90"/>
        <v>417</v>
      </c>
    </row>
    <row r="490" spans="220:220" x14ac:dyDescent="0.2">
      <c r="HL490" s="1">
        <f t="shared" ca="1" si="90"/>
        <v>417</v>
      </c>
    </row>
    <row r="491" spans="220:220" x14ac:dyDescent="0.2">
      <c r="HL491" s="1">
        <f t="shared" ca="1" si="90"/>
        <v>417</v>
      </c>
    </row>
    <row r="492" spans="220:220" x14ac:dyDescent="0.2">
      <c r="HL492" s="1">
        <f t="shared" ca="1" si="90"/>
        <v>417</v>
      </c>
    </row>
    <row r="493" spans="220:220" x14ac:dyDescent="0.2">
      <c r="HL493" s="1">
        <f t="shared" ca="1" si="90"/>
        <v>417</v>
      </c>
    </row>
    <row r="494" spans="220:220" x14ac:dyDescent="0.2">
      <c r="HL494" s="1">
        <f t="shared" ca="1" si="90"/>
        <v>417</v>
      </c>
    </row>
    <row r="495" spans="220:220" x14ac:dyDescent="0.2">
      <c r="HL495" s="1">
        <f t="shared" ca="1" si="90"/>
        <v>417</v>
      </c>
    </row>
    <row r="496" spans="220:220" x14ac:dyDescent="0.2">
      <c r="HL496" s="1">
        <f t="shared" ca="1" si="90"/>
        <v>417</v>
      </c>
    </row>
    <row r="497" spans="220:220" x14ac:dyDescent="0.2">
      <c r="HL497" s="1">
        <f t="shared" ca="1" si="90"/>
        <v>417</v>
      </c>
    </row>
    <row r="498" spans="220:220" x14ac:dyDescent="0.2">
      <c r="HL498" s="1">
        <f t="shared" ca="1" si="90"/>
        <v>417</v>
      </c>
    </row>
    <row r="499" spans="220:220" x14ac:dyDescent="0.2">
      <c r="HL499" s="1">
        <f t="shared" ca="1" si="90"/>
        <v>417</v>
      </c>
    </row>
    <row r="500" spans="220:220" x14ac:dyDescent="0.2">
      <c r="HL500" s="1">
        <f t="shared" ca="1" si="90"/>
        <v>417</v>
      </c>
    </row>
    <row r="501" spans="220:220" x14ac:dyDescent="0.2">
      <c r="HL501" s="1">
        <f t="shared" ca="1" si="90"/>
        <v>417</v>
      </c>
    </row>
    <row r="502" spans="220:220" x14ac:dyDescent="0.2">
      <c r="HL502" s="1">
        <f t="shared" ca="1" si="90"/>
        <v>417</v>
      </c>
    </row>
    <row r="503" spans="220:220" x14ac:dyDescent="0.2">
      <c r="HL503" s="1">
        <f t="shared" ca="1" si="90"/>
        <v>417</v>
      </c>
    </row>
    <row r="504" spans="220:220" x14ac:dyDescent="0.2">
      <c r="HL504" s="1">
        <f t="shared" ca="1" si="90"/>
        <v>417</v>
      </c>
    </row>
    <row r="505" spans="220:220" x14ac:dyDescent="0.2">
      <c r="HL505" s="1">
        <f t="shared" ca="1" si="90"/>
        <v>417</v>
      </c>
    </row>
    <row r="506" spans="220:220" x14ac:dyDescent="0.2">
      <c r="HL506" s="1">
        <f t="shared" ca="1" si="90"/>
        <v>417</v>
      </c>
    </row>
    <row r="507" spans="220:220" x14ac:dyDescent="0.2">
      <c r="HL507" s="1">
        <f t="shared" ca="1" si="90"/>
        <v>417</v>
      </c>
    </row>
    <row r="508" spans="220:220" x14ac:dyDescent="0.2">
      <c r="HL508" s="1">
        <f t="shared" ca="1" si="90"/>
        <v>417</v>
      </c>
    </row>
    <row r="509" spans="220:220" x14ac:dyDescent="0.2">
      <c r="HL509" s="1">
        <f t="shared" ca="1" si="90"/>
        <v>417</v>
      </c>
    </row>
    <row r="510" spans="220:220" x14ac:dyDescent="0.2">
      <c r="HL510" s="1">
        <f t="shared" ca="1" si="90"/>
        <v>417</v>
      </c>
    </row>
    <row r="511" spans="220:220" x14ac:dyDescent="0.2">
      <c r="HL511" s="1">
        <f t="shared" ca="1" si="90"/>
        <v>417</v>
      </c>
    </row>
    <row r="512" spans="220:220" x14ac:dyDescent="0.2">
      <c r="HL512" s="1">
        <f t="shared" ca="1" si="90"/>
        <v>417</v>
      </c>
    </row>
    <row r="513" spans="220:220" x14ac:dyDescent="0.2">
      <c r="HL513" s="1">
        <f t="shared" ca="1" si="90"/>
        <v>417</v>
      </c>
    </row>
    <row r="514" spans="220:220" x14ac:dyDescent="0.2">
      <c r="HL514" s="1">
        <f t="shared" ca="1" si="90"/>
        <v>417</v>
      </c>
    </row>
    <row r="515" spans="220:220" x14ac:dyDescent="0.2">
      <c r="HL515" s="1">
        <f t="shared" ca="1" si="90"/>
        <v>417</v>
      </c>
    </row>
    <row r="516" spans="220:220" x14ac:dyDescent="0.2">
      <c r="HL516" s="1">
        <f t="shared" ca="1" si="90"/>
        <v>417</v>
      </c>
    </row>
    <row r="517" spans="220:220" x14ac:dyDescent="0.2">
      <c r="HL517" s="1">
        <f t="shared" ref="HL517" ca="1" si="91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36 A38:A1048576">
    <cfRule type="containsText" dxfId="6" priority="3" operator="containsText" text="presta">
      <formula>NOT(ISERROR(SEARCH("presta",A1)))</formula>
    </cfRule>
  </conditionalFormatting>
  <conditionalFormatting sqref="A1:A1048576">
    <cfRule type="containsText" dxfId="5" priority="1" operator="containsText" text="Tarjet">
      <formula>NOT(ISERROR(SEARCH("Tarjet",A1)))</formula>
    </cfRule>
  </conditionalFormatting>
  <conditionalFormatting sqref="A37">
    <cfRule type="expression" dxfId="4" priority="2">
      <formula>IF(A37=DAY(TODAY()),TRUE,FALSE)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28" activePane="bottomLeft" state="frozen"/>
      <selection pane="bottomLeft" activeCell="S229" sqref="S229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4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67" t="s">
        <v>89</v>
      </c>
      <c r="F1" s="168"/>
      <c r="G1" s="168"/>
      <c r="H1" s="168"/>
      <c r="I1" s="169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65" t="s">
        <v>139</v>
      </c>
      <c r="AB1" s="16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20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8.0837665062186273E-2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8470315</v>
      </c>
      <c r="AC3" s="99">
        <f t="shared" ref="AC3:AC6" si="2">+AB3/$AB$7</f>
        <v>0.2099178340332058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8380928.4900000002</v>
      </c>
      <c r="AC4" s="99">
        <f t="shared" si="2"/>
        <v>0.20770258907820854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Autonomo</v>
      </c>
      <c r="W5" s="92">
        <v>90342</v>
      </c>
      <c r="X5" s="93" t="str">
        <v>GFijos</v>
      </c>
      <c r="Y5" s="82"/>
      <c r="AA5" s="95" t="str">
        <v>Mercaderia</v>
      </c>
      <c r="AB5" s="96">
        <f>+SUMIFS($W$3:W5003,$X$3:X5003,AA5)</f>
        <v>18384557.690000005</v>
      </c>
      <c r="AC5" s="99">
        <f t="shared" si="2"/>
        <v>0.4556201900334661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Monotributo IVAN</v>
      </c>
      <c r="W6" s="4">
        <v>52280</v>
      </c>
      <c r="X6" s="93" t="str">
        <v>GFijos</v>
      </c>
      <c r="Y6" s="82"/>
      <c r="AA6" s="97" t="str">
        <v>GVarios</v>
      </c>
      <c r="AB6" s="98">
        <f>+SUMIFS($W$3:W5004,$X$3:X5004,AA6)</f>
        <v>5114820</v>
      </c>
      <c r="AC6" s="99">
        <f t="shared" si="2"/>
        <v>0.1267593868551195</v>
      </c>
      <c r="AD6" s="76">
        <f t="shared" si="3"/>
        <v>46082</v>
      </c>
      <c r="AG6" s="79" t="str">
        <v>abril</v>
      </c>
      <c r="AH6" s="81">
        <v>40350621.18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Mayeski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40350621.180000007</v>
      </c>
      <c r="AD7" s="76">
        <f t="shared" si="3"/>
        <v>46113</v>
      </c>
      <c r="AG7" s="79" t="str">
        <v>mayo</v>
      </c>
      <c r="AH7" s="81">
        <v>2078171.58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David</v>
      </c>
      <c r="W8" s="120">
        <v>42246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Movistar</v>
      </c>
      <c r="W9" s="92">
        <v>10350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Victoria Seguros</v>
      </c>
      <c r="W10" s="92">
        <v>123878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3100000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Surplas</v>
      </c>
      <c r="W11" s="92">
        <v>252000</v>
      </c>
      <c r="X11" s="93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Fader Plastic</v>
      </c>
      <c r="W12" s="157">
        <v>1339600</v>
      </c>
      <c r="X12" s="93" t="str">
        <v>Mercaderia</v>
      </c>
      <c r="Y12" s="82"/>
      <c r="AB12" s="154">
        <f>+AB10+AB11</f>
        <v>3100000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ROBER</v>
      </c>
      <c r="W13" s="92">
        <v>400000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139044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REGAPLAS</v>
      </c>
      <c r="W15" s="92">
        <v>104000</v>
      </c>
      <c r="X15" s="93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Walter Gavetas</v>
      </c>
      <c r="W16" s="157">
        <v>215872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ArgenBroker</v>
      </c>
      <c r="W17" s="92">
        <v>244779</v>
      </c>
      <c r="X17" s="93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Bateria Moura Parnet</v>
      </c>
      <c r="W18" s="92">
        <v>220000</v>
      </c>
      <c r="X18" s="93" t="str">
        <v>GVarios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Embolsado de Carbones</v>
      </c>
      <c r="W19" s="92">
        <v>34000</v>
      </c>
      <c r="X19" s="93" t="str">
        <v>GVarios</v>
      </c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Gabi consumibles</v>
      </c>
      <c r="W20" s="92">
        <v>11200</v>
      </c>
      <c r="X20" s="93" t="str">
        <v>GVarios</v>
      </c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GNC Corsa</v>
      </c>
      <c r="W21" s="92">
        <v>9000</v>
      </c>
      <c r="X21" s="93" t="str">
        <v>GVarios</v>
      </c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46114</v>
      </c>
      <c r="V22" s="1" t="str">
        <v>Aseg. Motovehicular</v>
      </c>
      <c r="W22" s="92">
        <v>141512.71</v>
      </c>
      <c r="X22" s="93" t="str">
        <v>GFijos</v>
      </c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Naza Obra</v>
      </c>
      <c r="W23" s="92">
        <v>300000</v>
      </c>
      <c r="X23" s="93" t="str">
        <v>GVarios</v>
      </c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150000</v>
      </c>
      <c r="X24" s="93" t="str">
        <v>GVarios</v>
      </c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46115</v>
      </c>
      <c r="V25" s="1" t="str">
        <v>Endosado ALNAT</v>
      </c>
      <c r="W25" s="156">
        <v>400000</v>
      </c>
      <c r="X25" s="93" t="str">
        <v>Mercaderia</v>
      </c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Naza Obra</v>
      </c>
      <c r="W26" s="92">
        <v>200000</v>
      </c>
      <c r="X26" s="93" t="str">
        <v>GVarios</v>
      </c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46116</v>
      </c>
      <c r="V27" s="1" t="str">
        <v>Endosado ALU-MAQ</v>
      </c>
      <c r="W27" s="92">
        <v>302332</v>
      </c>
      <c r="X27" s="93" t="str">
        <v>Mercaderia</v>
      </c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46117</v>
      </c>
      <c r="V28" s="1" t="str">
        <v>Endosado ALU-MAQ</v>
      </c>
      <c r="W28" s="157">
        <v>306041.12</v>
      </c>
      <c r="X28" s="93" t="str">
        <v>Mercaderia</v>
      </c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46118</v>
      </c>
      <c r="V29" s="1" t="str">
        <v>Tarjeta Galicia + MASTER</v>
      </c>
      <c r="W29" s="92">
        <v>40000</v>
      </c>
      <c r="X29" s="93" t="str">
        <v>GFijos</v>
      </c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GNC Corsa</v>
      </c>
      <c r="W30" s="92">
        <v>10856</v>
      </c>
      <c r="X30" s="93" t="str">
        <v>GVarios</v>
      </c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Gabi consumibles</v>
      </c>
      <c r="W31" s="92">
        <v>5099</v>
      </c>
      <c r="X31" s="93" t="str">
        <v>GVarios</v>
      </c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46119</v>
      </c>
      <c r="V32" s="1" t="str">
        <v>Alnat</v>
      </c>
      <c r="W32" s="92">
        <v>360569.22</v>
      </c>
      <c r="X32" s="93" t="str">
        <v>Mercaderia</v>
      </c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Cincado</v>
      </c>
      <c r="W33" s="133">
        <v>66000</v>
      </c>
      <c r="X33" s="93" t="str">
        <v>Mercaderia</v>
      </c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ALU-MAQ</v>
      </c>
      <c r="W34" s="92">
        <v>266253.34999999998</v>
      </c>
      <c r="X34" s="93" t="str">
        <v>Mercaderia</v>
      </c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46120</v>
      </c>
      <c r="V35" s="1" t="str">
        <v>Tarjeta Santander Rio - VISA</v>
      </c>
      <c r="W35" s="92">
        <v>1358053.78</v>
      </c>
      <c r="X35" s="93" t="str">
        <v>GFijos</v>
      </c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Endosado METALGRAB</v>
      </c>
      <c r="W36" s="133">
        <v>1680047.15</v>
      </c>
      <c r="X36" s="93" t="str">
        <v>Mercaderia</v>
      </c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Neplastic</v>
      </c>
      <c r="W37" s="133">
        <v>425000</v>
      </c>
      <c r="X37" s="93" t="str">
        <v>Mercaderia</v>
      </c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Walter Gavetas</v>
      </c>
      <c r="W38" s="92">
        <v>400000</v>
      </c>
      <c r="X38" s="93" t="str">
        <v>Mercaderia</v>
      </c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Claudio Resortes</v>
      </c>
      <c r="W39" s="92">
        <v>550680</v>
      </c>
      <c r="X39" s="93" t="str">
        <v>Mercaderia</v>
      </c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Juan Regatones</v>
      </c>
      <c r="W40" s="92">
        <v>131300</v>
      </c>
      <c r="X40" s="93" t="str">
        <v>Mercaderia</v>
      </c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MetalGrab</v>
      </c>
      <c r="W41" s="92">
        <v>1680047.15</v>
      </c>
      <c r="X41" s="93" t="str">
        <v>Mercaderia</v>
      </c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Naza Obra</v>
      </c>
      <c r="W42" s="133">
        <v>300000</v>
      </c>
      <c r="X42" s="93" t="str">
        <v>GVarios</v>
      </c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Hotel Expo</v>
      </c>
      <c r="W43" s="92">
        <v>280000</v>
      </c>
      <c r="X43" s="93" t="str">
        <v>GVarios</v>
      </c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Papelera</v>
      </c>
      <c r="W44" s="92">
        <v>110900</v>
      </c>
      <c r="X44" s="93" t="str">
        <v>GVarios</v>
      </c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Mecanico Corsa</v>
      </c>
      <c r="W45" s="92">
        <v>650000</v>
      </c>
      <c r="X45" s="93" t="str">
        <v>GVarios</v>
      </c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GNC Corsa</v>
      </c>
      <c r="W46" s="92">
        <v>8000</v>
      </c>
      <c r="X46" s="93" t="str">
        <v>GVarios</v>
      </c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46121</v>
      </c>
      <c r="V47" s="1" t="str">
        <v>ALU-MAQ</v>
      </c>
      <c r="W47" s="92">
        <v>440850</v>
      </c>
      <c r="X47" s="93" t="str">
        <v>Mercaderia</v>
      </c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46122</v>
      </c>
      <c r="V48" s="1">
        <v>0</v>
      </c>
      <c r="W48" s="92">
        <v>1740000</v>
      </c>
      <c r="X48" s="93" t="str">
        <v>Sueldos</v>
      </c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46122</v>
      </c>
      <c r="V49" s="1" t="str">
        <v>Alquiler Distribuidora</v>
      </c>
      <c r="W49" s="92">
        <v>600000</v>
      </c>
      <c r="X49" s="93" t="str">
        <v>GFijos</v>
      </c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 t="str">
        <v>Alquiler Casa</v>
      </c>
      <c r="W50" s="92">
        <v>350000</v>
      </c>
      <c r="X50" s="93" t="str">
        <v>GFijos</v>
      </c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Mel diseño grafico</v>
      </c>
      <c r="W51" s="92">
        <v>430000</v>
      </c>
      <c r="X51" s="93" t="str">
        <v>GFijos</v>
      </c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Contador</v>
      </c>
      <c r="W52" s="92">
        <v>165000</v>
      </c>
      <c r="X52" s="93" t="str">
        <v>GFijos</v>
      </c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Cargas Sociales</v>
      </c>
      <c r="W53" s="133">
        <v>831762</v>
      </c>
      <c r="X53" s="93" t="str">
        <v>GFijos</v>
      </c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Endosado ALNAT</v>
      </c>
      <c r="W54" s="133">
        <v>400000</v>
      </c>
      <c r="X54" s="93" t="str">
        <v>Mercaderia</v>
      </c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Walter Gavetas</v>
      </c>
      <c r="W55" s="144">
        <v>200000</v>
      </c>
      <c r="X55" s="93" t="str">
        <v>Mercaderia</v>
      </c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Jorge Carbon</v>
      </c>
      <c r="W56" s="145">
        <v>211500</v>
      </c>
      <c r="X56" s="93" t="str">
        <v>Mercaderia</v>
      </c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Rober</v>
      </c>
      <c r="W57" s="92">
        <v>273400</v>
      </c>
      <c r="X57" s="93" t="str">
        <v>Mercaderia</v>
      </c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Carccione</v>
      </c>
      <c r="W58" s="92">
        <v>93000</v>
      </c>
      <c r="X58" s="93" t="str">
        <v>Mercaderia</v>
      </c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GNC Corsa</v>
      </c>
      <c r="W59" s="92">
        <v>8400</v>
      </c>
      <c r="X59" s="93" t="str">
        <v>GVarios</v>
      </c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Gabi consumibles</v>
      </c>
      <c r="W60" s="92">
        <v>14000</v>
      </c>
      <c r="X60" s="93" t="str">
        <v>GVarios</v>
      </c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Naza Obra</v>
      </c>
      <c r="W61" s="92">
        <v>300000</v>
      </c>
      <c r="X61" s="93" t="str">
        <v>GVarios</v>
      </c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Combustible Corsa</v>
      </c>
      <c r="W62" s="92">
        <v>40000</v>
      </c>
      <c r="X62" s="147" t="str">
        <v>GVarios</v>
      </c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46123</v>
      </c>
      <c r="V63" s="1" t="str">
        <v>Naza Obra</v>
      </c>
      <c r="W63" s="133">
        <v>500000</v>
      </c>
      <c r="X63" s="93" t="str">
        <v>GVarios</v>
      </c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46125</v>
      </c>
      <c r="V64" s="1" t="str">
        <v>Combustible Parnet</v>
      </c>
      <c r="W64" s="133">
        <v>160000</v>
      </c>
      <c r="X64" s="3" t="str">
        <v>GVarios</v>
      </c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46126</v>
      </c>
      <c r="V65" s="1" t="str">
        <v>Prestamo Galicia - SGR</v>
      </c>
      <c r="W65" s="92">
        <v>1582000</v>
      </c>
      <c r="X65" s="3" t="str">
        <v>GFijos</v>
      </c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46126</v>
      </c>
      <c r="V66" s="1" t="str">
        <v>Ruben Listones</v>
      </c>
      <c r="W66" s="92">
        <v>48000</v>
      </c>
      <c r="X66" s="3" t="str">
        <v>Mercaderia</v>
      </c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Otia</v>
      </c>
      <c r="W67" s="92">
        <v>137347</v>
      </c>
      <c r="X67" s="3" t="str">
        <v>Mercaderia</v>
      </c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Chavetas Kaz</v>
      </c>
      <c r="W68" s="92">
        <v>70727.070000000007</v>
      </c>
      <c r="X68" s="3" t="str">
        <v>Mercaderia</v>
      </c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ALU-MAQ</v>
      </c>
      <c r="W69" s="92">
        <v>75811.340000000026</v>
      </c>
      <c r="X69" s="3" t="str">
        <v>Mercaderia</v>
      </c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ArgenBroker</v>
      </c>
      <c r="W70" s="92">
        <v>300000</v>
      </c>
      <c r="X70" s="3" t="str">
        <v>Mercaderia</v>
      </c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Toner - Cian y magenta</v>
      </c>
      <c r="W71" s="92">
        <v>210000</v>
      </c>
      <c r="X71" s="3" t="str">
        <v>GVarios</v>
      </c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GNC Corsa</v>
      </c>
      <c r="W72" s="92">
        <v>7565</v>
      </c>
      <c r="X72" s="3" t="str">
        <v>GVarios</v>
      </c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Gabi consumibles</v>
      </c>
      <c r="W73" s="133">
        <v>8000</v>
      </c>
      <c r="X73" s="3" t="str">
        <v>GVarios</v>
      </c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8500</v>
      </c>
      <c r="X74" s="3" t="str">
        <v>GVarios</v>
      </c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46127</v>
      </c>
      <c r="V75" s="1" t="str">
        <v>Endosado ALNAT</v>
      </c>
      <c r="W75" s="92">
        <v>400000</v>
      </c>
      <c r="X75" s="3" t="str">
        <v>Mercaderia</v>
      </c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46127</v>
      </c>
      <c r="V76" s="1" t="str">
        <v>Alcides</v>
      </c>
      <c r="W76" s="92">
        <v>1020504.32</v>
      </c>
      <c r="X76" s="3" t="str">
        <v>Mercaderia</v>
      </c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Cincado</v>
      </c>
      <c r="W77" s="92">
        <v>66000</v>
      </c>
      <c r="X77" s="3" t="str">
        <v>Mercaderia</v>
      </c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Regatones OyR</v>
      </c>
      <c r="W78" s="92">
        <v>128300</v>
      </c>
      <c r="X78" s="3" t="str">
        <v>Mercaderia</v>
      </c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Argon</v>
      </c>
      <c r="W79" s="92">
        <v>33500</v>
      </c>
      <c r="X79" s="3" t="str">
        <v>Mercaderia</v>
      </c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Gabi consumibles</v>
      </c>
      <c r="W80" s="92">
        <v>12000</v>
      </c>
      <c r="X80" s="3" t="str">
        <v>GVarios</v>
      </c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GNC Corsa</v>
      </c>
      <c r="W81" s="92">
        <v>8000</v>
      </c>
      <c r="X81" s="3" t="str">
        <v>GVarios</v>
      </c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46128</v>
      </c>
      <c r="V82" s="1" t="str">
        <v>Cuota Facilidades IVA</v>
      </c>
      <c r="W82" s="92">
        <v>446304</v>
      </c>
      <c r="X82" s="3" t="str">
        <v>GFijos</v>
      </c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46128</v>
      </c>
      <c r="V83" s="1" t="str">
        <v>Cuota Facilidades IVA</v>
      </c>
      <c r="W83" s="92">
        <v>410336</v>
      </c>
      <c r="X83" s="3" t="str">
        <v>GFijos</v>
      </c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Personal Flow</v>
      </c>
      <c r="W84" s="133">
        <v>89083</v>
      </c>
      <c r="X84" s="3" t="str">
        <v>GFijos</v>
      </c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Rober</v>
      </c>
      <c r="W85" s="133">
        <v>91500</v>
      </c>
      <c r="X85" s="3" t="str">
        <v>Mercaderia</v>
      </c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Dahe Piazze</v>
      </c>
      <c r="W86" s="92">
        <v>277816.12</v>
      </c>
      <c r="X86" s="3" t="str">
        <v>Mercaderia</v>
      </c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Kloster</v>
      </c>
      <c r="W87" s="133">
        <v>298000</v>
      </c>
      <c r="X87" s="3" t="str">
        <v>Mercaderia</v>
      </c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Rober</v>
      </c>
      <c r="W88" s="92">
        <v>47500</v>
      </c>
      <c r="X88" s="3" t="str">
        <v>Mercaderia</v>
      </c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Selladores Regitak</v>
      </c>
      <c r="W89" s="92">
        <v>80440.800000000003</v>
      </c>
      <c r="X89" s="3" t="str">
        <v>Mercaderia</v>
      </c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Jorge Carbon</v>
      </c>
      <c r="W90" s="92">
        <v>220000</v>
      </c>
      <c r="X90" s="3" t="str">
        <v>Mercaderia</v>
      </c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Pedro Insertos</v>
      </c>
      <c r="W91" s="92">
        <v>480000</v>
      </c>
      <c r="X91" s="3" t="str">
        <v>Mercaderia</v>
      </c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Naza Obra</v>
      </c>
      <c r="W92" s="92">
        <v>250000</v>
      </c>
      <c r="X92" s="3" t="str">
        <v>GVarios</v>
      </c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GNC Corsa</v>
      </c>
      <c r="W93" s="92">
        <v>10000</v>
      </c>
      <c r="X93" s="3" t="str">
        <v>GVarios</v>
      </c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GNC Corsa</v>
      </c>
      <c r="W94" s="92">
        <v>7800</v>
      </c>
      <c r="X94" s="3" t="str">
        <v>GVarios</v>
      </c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Gabi consumibles</v>
      </c>
      <c r="W95" s="92">
        <v>13000</v>
      </c>
      <c r="X95" s="3" t="str">
        <v>GVarios</v>
      </c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46129</v>
      </c>
      <c r="V96" s="1" t="str">
        <v>Sueldos</v>
      </c>
      <c r="W96" s="92">
        <v>3468465</v>
      </c>
      <c r="X96" s="3" t="str">
        <v>Sueldos</v>
      </c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46129</v>
      </c>
      <c r="V97" s="1" t="str">
        <v>MetalGrab</v>
      </c>
      <c r="W97" s="92">
        <v>264394.68</v>
      </c>
      <c r="X97" s="3" t="str">
        <v>Mercaderia</v>
      </c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 t="str">
        <v>Neplastic</v>
      </c>
      <c r="W98" s="133">
        <v>441045</v>
      </c>
      <c r="X98" s="3" t="str">
        <v>Mercaderia</v>
      </c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Endosado ALNAT</v>
      </c>
      <c r="W99" s="133">
        <v>612801.4</v>
      </c>
      <c r="X99" s="3" t="str">
        <v>Mercaderia</v>
      </c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Walter Gavetas</v>
      </c>
      <c r="W100" s="92">
        <v>200000</v>
      </c>
      <c r="X100" s="3" t="str">
        <v>Mercaderia</v>
      </c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Getres</v>
      </c>
      <c r="W101" s="92">
        <v>59000</v>
      </c>
      <c r="X101" s="3" t="str">
        <v>GVarios</v>
      </c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Naza Obra</v>
      </c>
      <c r="W102" s="92">
        <v>300000</v>
      </c>
      <c r="X102" s="3" t="str">
        <v>GVarios</v>
      </c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Naza Obra</v>
      </c>
      <c r="W103" s="92">
        <v>500000</v>
      </c>
      <c r="X103" s="3" t="str">
        <v>GVarios</v>
      </c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Naza Obra</v>
      </c>
      <c r="W104" s="92">
        <v>300000</v>
      </c>
      <c r="X104" s="3" t="str">
        <v>GVarios</v>
      </c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Gabi consumibles</v>
      </c>
      <c r="W105" s="92">
        <v>8500</v>
      </c>
      <c r="X105" s="3" t="str">
        <v>GVarios</v>
      </c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227</v>
      </c>
      <c r="R106" s="116"/>
      <c r="S106" s="100">
        <v>95000</v>
      </c>
      <c r="U106" s="23">
        <v>46130</v>
      </c>
      <c r="V106" s="1" t="str">
        <v>Walter Gavetas</v>
      </c>
      <c r="W106" s="92">
        <v>161059</v>
      </c>
      <c r="X106" s="3" t="str">
        <v>Mercaderia</v>
      </c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228</v>
      </c>
      <c r="R107" s="116"/>
      <c r="S107" s="100">
        <v>75000</v>
      </c>
      <c r="U107" s="23">
        <v>46130</v>
      </c>
      <c r="V107" s="1" t="str">
        <v>Walter Gavetas</v>
      </c>
      <c r="W107" s="92">
        <v>80000</v>
      </c>
      <c r="X107" s="3" t="str">
        <v>Mercaderia</v>
      </c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229</v>
      </c>
      <c r="R108" s="116"/>
      <c r="S108" s="100">
        <v>24000</v>
      </c>
      <c r="U108" s="23">
        <v>46132</v>
      </c>
      <c r="V108" s="1" t="str">
        <v>Tarjeta Galicia - BUSINESS</v>
      </c>
      <c r="W108" s="133">
        <v>848160</v>
      </c>
      <c r="X108" s="3" t="str">
        <v>GFijos</v>
      </c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46132</v>
      </c>
      <c r="V109" s="1" t="str">
        <v>Endosado ALNAT</v>
      </c>
      <c r="W109" s="92">
        <v>845478.61</v>
      </c>
      <c r="X109" s="3" t="str">
        <v>Mercaderia</v>
      </c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46132</v>
      </c>
      <c r="V110" s="1" t="str">
        <v>MetalGrab</v>
      </c>
      <c r="W110" s="92">
        <v>103941.42</v>
      </c>
      <c r="X110" s="3" t="str">
        <v>Mercaderia</v>
      </c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231</v>
      </c>
      <c r="R111" s="116"/>
      <c r="S111" s="100">
        <v>500000</v>
      </c>
      <c r="U111" s="23">
        <v>46132</v>
      </c>
      <c r="V111" s="1" t="str">
        <v>GNC Corsa</v>
      </c>
      <c r="W111" s="92">
        <v>4000</v>
      </c>
      <c r="X111" s="3" t="str">
        <v>GVarios</v>
      </c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232</v>
      </c>
      <c r="R112" s="116"/>
      <c r="S112" s="100">
        <v>650000</v>
      </c>
      <c r="U112" s="23">
        <v>46132</v>
      </c>
      <c r="V112" s="1" t="str">
        <v>Combustible Corsa</v>
      </c>
      <c r="W112" s="92">
        <v>70000</v>
      </c>
      <c r="X112" s="3" t="str">
        <v>GVarios</v>
      </c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>
        <v>46132</v>
      </c>
      <c r="V113" s="1" t="str">
        <v>Gabi consumibles</v>
      </c>
      <c r="W113" s="92">
        <v>11000</v>
      </c>
      <c r="X113" s="3" t="str">
        <v>GVarios</v>
      </c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>
        <v>46133</v>
      </c>
      <c r="V114" s="1" t="str">
        <v>Alumina</v>
      </c>
      <c r="W114" s="133">
        <v>146317.76000000001</v>
      </c>
      <c r="X114" s="3" t="str">
        <v>Mercaderia</v>
      </c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234</v>
      </c>
      <c r="R115" s="116"/>
      <c r="S115" s="109">
        <v>33300</v>
      </c>
      <c r="U115" s="23">
        <v>46133</v>
      </c>
      <c r="V115" s="1" t="str">
        <v>Otia</v>
      </c>
      <c r="W115" s="92">
        <v>162431.99999999997</v>
      </c>
      <c r="X115" s="3" t="str">
        <v>Mercaderia</v>
      </c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233</v>
      </c>
      <c r="R116" s="116"/>
      <c r="S116" s="109">
        <v>35000</v>
      </c>
      <c r="U116" s="23">
        <v>46133</v>
      </c>
      <c r="V116" s="1" t="str">
        <v>Cincado</v>
      </c>
      <c r="W116" s="92">
        <v>44000</v>
      </c>
      <c r="X116" s="3" t="str">
        <v>Mercaderia</v>
      </c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>
        <v>46133</v>
      </c>
      <c r="V117" s="1" t="str">
        <v>Regatones OyR</v>
      </c>
      <c r="W117" s="92">
        <v>75600</v>
      </c>
      <c r="X117" s="3" t="str">
        <v>Mercaderia</v>
      </c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>
        <v>46133</v>
      </c>
      <c r="V118" s="1" t="str">
        <v>Vía cargo</v>
      </c>
      <c r="W118" s="92">
        <v>16000</v>
      </c>
      <c r="X118" s="3" t="str">
        <v>GVarios</v>
      </c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>
        <v>46136</v>
      </c>
      <c r="V119" s="1" t="str">
        <v>Endosado Metalgrab</v>
      </c>
      <c r="W119" s="92">
        <v>389726.18</v>
      </c>
      <c r="X119" s="3" t="str">
        <v>Mercaderia</v>
      </c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235</v>
      </c>
      <c r="R120" s="116"/>
      <c r="S120" s="109">
        <v>24000</v>
      </c>
      <c r="U120" s="23">
        <v>46140</v>
      </c>
      <c r="V120" s="1" t="str">
        <v>Endosado Metalgrab</v>
      </c>
      <c r="W120" s="133">
        <v>200000</v>
      </c>
      <c r="X120" s="3" t="str">
        <v>Mercaderia</v>
      </c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236</v>
      </c>
      <c r="R121" s="116"/>
      <c r="S121" s="109">
        <v>30000</v>
      </c>
      <c r="U121" s="23"/>
      <c r="W121" s="92"/>
      <c r="X121" s="3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/>
      <c r="W122" s="92"/>
      <c r="X122" s="3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238</v>
      </c>
      <c r="R123" s="116"/>
      <c r="S123" s="109">
        <v>100000</v>
      </c>
      <c r="U123" s="23"/>
      <c r="W123" s="92"/>
      <c r="X123" s="3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241</v>
      </c>
      <c r="R124" s="116"/>
      <c r="S124" s="109">
        <v>500000</v>
      </c>
      <c r="U124" s="23"/>
      <c r="W124" s="92"/>
      <c r="X124" s="3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242</v>
      </c>
      <c r="R125" s="116"/>
      <c r="S125" s="115">
        <v>99000</v>
      </c>
      <c r="U125" s="23"/>
      <c r="W125" s="92"/>
      <c r="X125" s="3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243</v>
      </c>
      <c r="R126" s="116"/>
      <c r="S126" s="109">
        <v>2717843</v>
      </c>
      <c r="U126" s="23"/>
      <c r="W126" s="92"/>
      <c r="X126" s="3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244</v>
      </c>
      <c r="R127" s="116"/>
      <c r="S127" s="109">
        <v>510687</v>
      </c>
      <c r="U127" s="23"/>
      <c r="W127" s="92"/>
      <c r="X127" s="3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246</v>
      </c>
      <c r="R128" s="117" t="s">
        <v>48</v>
      </c>
      <c r="S128" s="109">
        <v>50000</v>
      </c>
      <c r="U128" s="23"/>
      <c r="W128" s="92"/>
      <c r="X128" s="3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/>
      <c r="W129" s="92"/>
      <c r="X129" s="3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/>
      <c r="W130" s="92"/>
      <c r="X130" s="3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/>
      <c r="W131" s="92"/>
      <c r="X131" s="3"/>
      <c r="Y131" s="82"/>
    </row>
    <row r="132" spans="5:25" ht="15" x14ac:dyDescent="0.25">
      <c r="E132" s="79">
        <v>46113</v>
      </c>
      <c r="F132" s="78" t="s">
        <v>20</v>
      </c>
      <c r="G132" s="78">
        <v>90342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236</v>
      </c>
      <c r="R132" s="117"/>
      <c r="S132" s="109">
        <v>34000</v>
      </c>
      <c r="U132" s="23"/>
      <c r="W132" s="133"/>
      <c r="X132" s="3"/>
      <c r="Y132" s="82"/>
    </row>
    <row r="133" spans="5:25" ht="15" x14ac:dyDescent="0.25">
      <c r="E133" s="79">
        <v>46113</v>
      </c>
      <c r="F133" s="78" t="s">
        <v>22</v>
      </c>
      <c r="G133" s="78">
        <v>52280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/>
      <c r="W133" s="133"/>
      <c r="X133" s="3"/>
      <c r="Y133" s="82"/>
    </row>
    <row r="134" spans="5:25" ht="15" x14ac:dyDescent="0.25">
      <c r="E134" s="79">
        <v>46113</v>
      </c>
      <c r="F134" s="78" t="s">
        <v>23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/>
      <c r="W134" s="92"/>
      <c r="X134" s="3"/>
      <c r="Y134" s="82"/>
    </row>
    <row r="135" spans="5:25" ht="15" x14ac:dyDescent="0.25">
      <c r="E135" s="79">
        <v>46113</v>
      </c>
      <c r="F135" s="78" t="s">
        <v>151</v>
      </c>
      <c r="G135" s="78">
        <v>42246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/>
      <c r="W135" s="92"/>
      <c r="X135" s="3"/>
      <c r="Y135" s="82"/>
    </row>
    <row r="136" spans="5:25" ht="15" x14ac:dyDescent="0.25">
      <c r="E136" s="79">
        <v>46113</v>
      </c>
      <c r="F136" s="78" t="s">
        <v>61</v>
      </c>
      <c r="G136" s="78">
        <v>10350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/>
      <c r="W136" s="92"/>
      <c r="X136" s="3"/>
      <c r="Y136" s="82"/>
    </row>
    <row r="137" spans="5:25" ht="15" x14ac:dyDescent="0.25">
      <c r="E137" s="79">
        <v>46113</v>
      </c>
      <c r="F137" s="78" t="s">
        <v>64</v>
      </c>
      <c r="G137" s="78">
        <v>123878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/>
      <c r="W137" s="92"/>
      <c r="X137" s="3"/>
      <c r="Y137" s="82"/>
    </row>
    <row r="138" spans="5:25" ht="15" x14ac:dyDescent="0.25">
      <c r="E138" s="79">
        <v>46114</v>
      </c>
      <c r="F138" s="78" t="s">
        <v>60</v>
      </c>
      <c r="G138" s="78">
        <v>141512.71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/>
      <c r="W138" s="92"/>
      <c r="X138" s="3"/>
      <c r="Y138" s="82"/>
    </row>
    <row r="139" spans="5:25" ht="15" x14ac:dyDescent="0.25">
      <c r="E139" s="79">
        <v>46118</v>
      </c>
      <c r="F139" s="78" t="s">
        <v>54</v>
      </c>
      <c r="G139" s="78">
        <v>40000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242</v>
      </c>
      <c r="R139" s="117"/>
      <c r="S139" s="100">
        <v>58000</v>
      </c>
      <c r="U139" s="23"/>
      <c r="W139" s="92"/>
      <c r="X139" s="3"/>
      <c r="Y139" s="82"/>
    </row>
    <row r="140" spans="5:25" ht="15" x14ac:dyDescent="0.25">
      <c r="E140" s="79">
        <v>46120</v>
      </c>
      <c r="F140" s="78" t="s">
        <v>57</v>
      </c>
      <c r="G140" s="78">
        <v>1358053.78</v>
      </c>
      <c r="H140" s="78">
        <v>50.42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/>
      <c r="W140" s="92"/>
      <c r="X140" s="3"/>
      <c r="Y140" s="82"/>
    </row>
    <row r="141" spans="5:25" ht="15" x14ac:dyDescent="0.25">
      <c r="E141" s="79">
        <v>46122</v>
      </c>
      <c r="F141" s="78" t="s">
        <v>13</v>
      </c>
      <c r="G141" s="78">
        <v>600000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/>
      <c r="W141" s="92"/>
      <c r="X141" s="3"/>
      <c r="Y141" s="82"/>
    </row>
    <row r="142" spans="5:25" ht="15" x14ac:dyDescent="0.25">
      <c r="E142" s="79">
        <v>46122</v>
      </c>
      <c r="F142" s="78" t="s">
        <v>14</v>
      </c>
      <c r="G142" s="78">
        <v>350000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/>
      <c r="W142" s="133"/>
      <c r="X142" s="3"/>
      <c r="Y142" s="82"/>
    </row>
    <row r="143" spans="5:25" ht="15" x14ac:dyDescent="0.25">
      <c r="E143" s="79">
        <v>46122</v>
      </c>
      <c r="F143" s="78" t="s">
        <v>15</v>
      </c>
      <c r="G143" s="78">
        <v>430000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/>
      <c r="W143" s="133"/>
      <c r="X143" s="3"/>
      <c r="Y143" s="82"/>
    </row>
    <row r="144" spans="5:25" ht="15" x14ac:dyDescent="0.25">
      <c r="E144" s="79">
        <v>46122</v>
      </c>
      <c r="F144" s="78" t="s">
        <v>16</v>
      </c>
      <c r="G144" s="78">
        <v>165000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/>
      <c r="W144" s="92"/>
      <c r="X144" s="3"/>
      <c r="Y144" s="82"/>
    </row>
    <row r="145" spans="5:25" ht="15" x14ac:dyDescent="0.25">
      <c r="E145" s="79">
        <v>46122</v>
      </c>
      <c r="F145" s="78" t="s">
        <v>21</v>
      </c>
      <c r="G145" s="78">
        <v>831762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/>
      <c r="W145" s="92"/>
      <c r="X145" s="3"/>
      <c r="Y145" s="82"/>
    </row>
    <row r="146" spans="5:25" ht="15" x14ac:dyDescent="0.25">
      <c r="E146" s="79">
        <v>46126</v>
      </c>
      <c r="F146" s="78" t="s">
        <v>80</v>
      </c>
      <c r="G146" s="78">
        <v>1582000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/>
      <c r="W146" s="92"/>
      <c r="X146" s="3"/>
      <c r="Y146" s="82"/>
    </row>
    <row r="147" spans="5:25" ht="15" x14ac:dyDescent="0.25">
      <c r="E147" s="79">
        <v>46128</v>
      </c>
      <c r="F147" s="78" t="s">
        <v>11</v>
      </c>
      <c r="G147" s="78">
        <v>446304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/>
      <c r="W147" s="133"/>
      <c r="X147" s="3"/>
      <c r="Y147" s="82"/>
    </row>
    <row r="148" spans="5:25" ht="15" x14ac:dyDescent="0.25">
      <c r="E148" s="79">
        <v>46128</v>
      </c>
      <c r="F148" s="78" t="s">
        <v>11</v>
      </c>
      <c r="G148" s="78">
        <v>410336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/>
      <c r="W148" s="92"/>
      <c r="X148" s="3"/>
      <c r="Y148" s="82"/>
    </row>
    <row r="149" spans="5:25" ht="15" x14ac:dyDescent="0.25">
      <c r="E149" s="79">
        <v>46128</v>
      </c>
      <c r="F149" s="78" t="s">
        <v>59</v>
      </c>
      <c r="G149" s="78">
        <v>89083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/>
      <c r="W149" s="92"/>
      <c r="X149" s="3"/>
      <c r="Y149" s="82"/>
    </row>
    <row r="150" spans="5:25" ht="15" x14ac:dyDescent="0.25">
      <c r="E150" s="79">
        <v>46132</v>
      </c>
      <c r="F150" s="78" t="s">
        <v>159</v>
      </c>
      <c r="G150" s="78">
        <v>848160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259</v>
      </c>
      <c r="R150" s="117"/>
      <c r="S150" s="100">
        <v>77500</v>
      </c>
      <c r="U150" s="23"/>
      <c r="W150" s="92"/>
      <c r="X150" s="3"/>
      <c r="Y150" s="82"/>
    </row>
    <row r="151" spans="5:25" ht="14.25" customHeight="1" x14ac:dyDescent="0.25"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/>
      <c r="W151" s="92"/>
      <c r="X151" s="3"/>
      <c r="Y151" s="82"/>
    </row>
    <row r="152" spans="5:25" ht="14.25" customHeight="1" x14ac:dyDescent="0.25"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/>
      <c r="W152" s="133"/>
      <c r="X152" s="3"/>
      <c r="Y152" s="82"/>
    </row>
    <row r="153" spans="5:25" ht="14.25" customHeight="1" x14ac:dyDescent="0.25"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/>
      <c r="W153" s="133"/>
      <c r="X153" s="3"/>
      <c r="Y153" s="82"/>
    </row>
    <row r="154" spans="5:25" ht="14.25" customHeight="1" x14ac:dyDescent="0.25"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/>
      <c r="W154" s="92"/>
      <c r="X154" s="3"/>
      <c r="Y154" s="82"/>
    </row>
    <row r="155" spans="5:25" ht="14.25" customHeight="1" x14ac:dyDescent="0.25"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/>
      <c r="W155" s="92"/>
      <c r="X155" s="3"/>
      <c r="Y155" s="82"/>
    </row>
    <row r="156" spans="5:25" ht="14.25" customHeight="1" x14ac:dyDescent="0.25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246</v>
      </c>
      <c r="R156" s="117"/>
      <c r="S156" s="100">
        <v>94009</v>
      </c>
      <c r="U156" s="23"/>
      <c r="W156" s="92"/>
      <c r="X156" s="3"/>
      <c r="Y156" s="82"/>
    </row>
    <row r="157" spans="5:25" ht="14.25" customHeight="1" x14ac:dyDescent="0.25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260</v>
      </c>
      <c r="R157" s="117"/>
      <c r="S157" s="100">
        <v>10968</v>
      </c>
      <c r="U157" s="23"/>
      <c r="W157" s="92"/>
      <c r="X157" s="3"/>
      <c r="Y157" s="82"/>
    </row>
    <row r="158" spans="5:25" ht="14.25" customHeight="1" x14ac:dyDescent="0.25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/>
      <c r="W158" s="92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/>
      <c r="W159" s="92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262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242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269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6"/>
      <c r="N168" s="81">
        <v>309000</v>
      </c>
      <c r="P168" s="80">
        <v>46106</v>
      </c>
      <c r="Q168" s="108" t="s">
        <v>270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246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274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274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276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6"/>
      <c r="N184" s="81">
        <v>250000</v>
      </c>
      <c r="P184" s="80">
        <v>46112</v>
      </c>
      <c r="Q184" s="78" t="s">
        <v>277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278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279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6"/>
      <c r="N191" s="111">
        <v>411628.06</v>
      </c>
      <c r="P191" s="80">
        <v>46113</v>
      </c>
      <c r="Q191" s="78" t="s">
        <v>282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283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284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285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286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6"/>
      <c r="N222" s="111">
        <v>115000</v>
      </c>
      <c r="P222" s="80">
        <v>46128</v>
      </c>
      <c r="Q222" s="78" t="s">
        <v>138</v>
      </c>
      <c r="R222" s="117"/>
      <c r="S222" s="100">
        <v>10000</v>
      </c>
      <c r="U222" s="23"/>
      <c r="W222" s="92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7800</v>
      </c>
      <c r="U223" s="23"/>
      <c r="W223" s="92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6"/>
      <c r="N224" s="111">
        <v>200000</v>
      </c>
      <c r="P224" s="80">
        <v>46128</v>
      </c>
      <c r="Q224" s="78" t="s">
        <v>176</v>
      </c>
      <c r="R224" s="117"/>
      <c r="S224" s="100">
        <v>13000</v>
      </c>
      <c r="U224" s="23"/>
      <c r="W224" s="92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6"/>
      <c r="N225" s="81">
        <v>95000</v>
      </c>
      <c r="P225" s="80">
        <v>46129</v>
      </c>
      <c r="Q225" s="78" t="s">
        <v>176</v>
      </c>
      <c r="R225" s="117"/>
      <c r="S225" s="100">
        <v>8500</v>
      </c>
      <c r="U225" s="23"/>
      <c r="W225" s="92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6"/>
      <c r="N226" s="81">
        <v>400000</v>
      </c>
      <c r="P226" s="80">
        <v>46132</v>
      </c>
      <c r="Q226" s="78" t="s">
        <v>138</v>
      </c>
      <c r="R226" s="117"/>
      <c r="S226" s="100">
        <v>4000</v>
      </c>
      <c r="U226" s="23"/>
      <c r="W226" s="92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6"/>
      <c r="N227" s="81">
        <v>302332</v>
      </c>
      <c r="P227" s="80">
        <v>46132</v>
      </c>
      <c r="Q227" s="78" t="s">
        <v>112</v>
      </c>
      <c r="R227" s="117"/>
      <c r="S227" s="100">
        <v>70000</v>
      </c>
      <c r="U227" s="23"/>
      <c r="W227" s="92"/>
      <c r="X227" s="3"/>
    </row>
    <row r="228" spans="11:25" ht="14.25" customHeight="1" x14ac:dyDescent="0.25">
      <c r="K228" s="80">
        <v>46083</v>
      </c>
      <c r="L228" s="78" t="s">
        <v>154</v>
      </c>
      <c r="M228" s="116"/>
      <c r="N228" s="81">
        <v>205046.35</v>
      </c>
      <c r="P228" s="80">
        <v>46132</v>
      </c>
      <c r="Q228" s="78" t="s">
        <v>176</v>
      </c>
      <c r="R228" s="117"/>
      <c r="S228" s="100">
        <v>11000</v>
      </c>
      <c r="U228" s="23"/>
      <c r="W228" s="92"/>
      <c r="X228" s="3"/>
    </row>
    <row r="229" spans="11:25" ht="14.25" customHeight="1" x14ac:dyDescent="0.25">
      <c r="K229" s="80">
        <v>46117</v>
      </c>
      <c r="L229" s="78" t="s">
        <v>155</v>
      </c>
      <c r="M229" s="116"/>
      <c r="N229" s="81">
        <v>306041.12</v>
      </c>
      <c r="P229" s="80">
        <v>46133</v>
      </c>
      <c r="Q229" s="78" t="s">
        <v>293</v>
      </c>
      <c r="R229" s="117"/>
      <c r="S229" s="100">
        <v>16000</v>
      </c>
      <c r="U229" s="23"/>
      <c r="W229" s="92"/>
      <c r="X229" s="3"/>
    </row>
    <row r="230" spans="11:25" ht="14.25" customHeight="1" x14ac:dyDescent="0.25">
      <c r="K230" s="80">
        <v>46105</v>
      </c>
      <c r="L230" s="78" t="s">
        <v>154</v>
      </c>
      <c r="M230" s="116"/>
      <c r="N230" s="81">
        <v>709111.33000000007</v>
      </c>
      <c r="U230" s="23"/>
      <c r="W230" s="92"/>
      <c r="X230" s="3"/>
    </row>
    <row r="231" spans="11:25" ht="14.25" customHeight="1" x14ac:dyDescent="0.25">
      <c r="K231" s="80">
        <v>46099</v>
      </c>
      <c r="L231" s="78" t="s">
        <v>154</v>
      </c>
      <c r="M231" s="116"/>
      <c r="N231" s="81">
        <v>709111.33000000007</v>
      </c>
      <c r="U231" s="23"/>
      <c r="W231" s="92"/>
      <c r="X231" s="3"/>
    </row>
    <row r="232" spans="11:25" ht="14.25" customHeight="1" x14ac:dyDescent="0.25">
      <c r="K232" s="80">
        <v>46093</v>
      </c>
      <c r="L232" s="78" t="s">
        <v>154</v>
      </c>
      <c r="M232" s="116"/>
      <c r="N232" s="81">
        <v>400000</v>
      </c>
      <c r="P232" s="161"/>
      <c r="Q232" s="162" t="s">
        <v>289</v>
      </c>
      <c r="R232" s="163"/>
      <c r="S232" s="164">
        <v>631404.27</v>
      </c>
      <c r="U232" s="23"/>
      <c r="W232" s="92"/>
      <c r="X232" s="3"/>
    </row>
    <row r="233" spans="11:25" ht="14.25" customHeight="1" x14ac:dyDescent="0.25">
      <c r="K233" s="80">
        <v>46101</v>
      </c>
      <c r="L233" s="78" t="s">
        <v>154</v>
      </c>
      <c r="M233" s="116"/>
      <c r="N233" s="81">
        <v>300000</v>
      </c>
      <c r="U233" s="23"/>
      <c r="W233" s="92"/>
      <c r="X233" s="3"/>
    </row>
    <row r="234" spans="11:25" ht="14.25" customHeight="1" x14ac:dyDescent="0.25">
      <c r="K234" s="80">
        <v>46090</v>
      </c>
      <c r="L234" s="78" t="s">
        <v>230</v>
      </c>
      <c r="M234" s="116"/>
      <c r="N234" s="81">
        <v>180000</v>
      </c>
      <c r="U234" s="23"/>
      <c r="W234" s="92"/>
      <c r="X234" s="3"/>
    </row>
    <row r="235" spans="11:25" ht="14.25" customHeight="1" x14ac:dyDescent="0.25">
      <c r="K235" s="80">
        <v>46091</v>
      </c>
      <c r="L235" s="78" t="s">
        <v>230</v>
      </c>
      <c r="M235" s="116"/>
      <c r="N235" s="81">
        <v>36732.379999999997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6"/>
      <c r="N236" s="81">
        <v>190000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6"/>
      <c r="N238" s="81">
        <v>99034</v>
      </c>
      <c r="X238" s="3"/>
    </row>
    <row r="239" spans="11:25" ht="14.25" customHeight="1" x14ac:dyDescent="0.2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25">
      <c r="K242" s="80">
        <v>46092</v>
      </c>
      <c r="L242" s="78" t="s">
        <v>253</v>
      </c>
      <c r="M242" s="116"/>
      <c r="N242" s="81">
        <v>128788.55</v>
      </c>
      <c r="X242" s="3"/>
    </row>
    <row r="243" spans="11:24" ht="14.25" customHeight="1" x14ac:dyDescent="0.2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6"/>
      <c r="N244" s="81">
        <v>380000</v>
      </c>
      <c r="X244" s="3"/>
    </row>
    <row r="245" spans="11:24" ht="14.25" customHeight="1" x14ac:dyDescent="0.2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6"/>
      <c r="N247" s="81">
        <v>263500</v>
      </c>
      <c r="X247" s="3"/>
    </row>
    <row r="248" spans="11:24" ht="14.25" customHeight="1" x14ac:dyDescent="0.2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6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6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6"/>
      <c r="N255" s="81">
        <v>190000</v>
      </c>
      <c r="X255" s="3"/>
    </row>
    <row r="256" spans="11:24" ht="14.25" customHeight="1" x14ac:dyDescent="0.2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25">
      <c r="K261" s="80">
        <v>46099</v>
      </c>
      <c r="L261" s="78" t="s">
        <v>125</v>
      </c>
      <c r="M261" s="116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6"/>
      <c r="N262" s="81">
        <v>88000</v>
      </c>
      <c r="Q262" s="155"/>
      <c r="X262" s="3"/>
    </row>
    <row r="263" spans="11:24" ht="14.25" customHeight="1" x14ac:dyDescent="0.25">
      <c r="K263" s="80">
        <v>46099</v>
      </c>
      <c r="L263" s="78" t="s">
        <v>136</v>
      </c>
      <c r="M263" s="116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6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6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6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6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6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6"/>
      <c r="N270" s="81">
        <v>172200</v>
      </c>
      <c r="X270" s="3"/>
    </row>
    <row r="271" spans="11:24" ht="14.25" customHeight="1" x14ac:dyDescent="0.25">
      <c r="K271" s="80">
        <v>46100</v>
      </c>
      <c r="L271" s="78" t="s">
        <v>266</v>
      </c>
      <c r="M271" s="116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6"/>
      <c r="N272" s="81">
        <v>740000</v>
      </c>
      <c r="R272" s="81"/>
      <c r="X272" s="3"/>
    </row>
    <row r="273" spans="11:24" ht="14.25" customHeight="1" x14ac:dyDescent="0.25">
      <c r="K273" s="80">
        <v>46101</v>
      </c>
      <c r="L273" s="78" t="s">
        <v>146</v>
      </c>
      <c r="M273" s="116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6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6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6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6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6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6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6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6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6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6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6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6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6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6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6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6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6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6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6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6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6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6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6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6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6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6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6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6"/>
      <c r="N358" s="81">
        <v>75600</v>
      </c>
      <c r="X358" s="3"/>
    </row>
    <row r="359" spans="11:24" ht="14.25" customHeight="1" x14ac:dyDescent="0.25">
      <c r="X359" s="3"/>
    </row>
    <row r="360" spans="11:24" ht="14.25" customHeight="1" x14ac:dyDescent="0.25">
      <c r="X360" s="3"/>
    </row>
    <row r="361" spans="11:24" ht="14.25" customHeight="1" x14ac:dyDescent="0.25">
      <c r="X361" s="3"/>
    </row>
    <row r="362" spans="11:24" ht="14.25" customHeight="1" x14ac:dyDescent="0.25">
      <c r="X362" s="3"/>
    </row>
    <row r="363" spans="11:24" ht="14.25" customHeight="1" x14ac:dyDescent="0.25">
      <c r="X363" s="3"/>
    </row>
    <row r="364" spans="11:24" ht="14.25" customHeight="1" x14ac:dyDescent="0.25">
      <c r="X364" s="3"/>
    </row>
    <row r="365" spans="11:24" ht="14.25" customHeight="1" x14ac:dyDescent="0.25">
      <c r="X365" s="3"/>
    </row>
    <row r="366" spans="11:24" ht="14.25" customHeight="1" x14ac:dyDescent="0.25">
      <c r="X366" s="3"/>
    </row>
    <row r="367" spans="11:24" ht="14.25" customHeight="1" x14ac:dyDescent="0.25">
      <c r="X367" s="3"/>
    </row>
    <row r="368" spans="11:24" ht="14.25" customHeight="1" x14ac:dyDescent="0.25">
      <c r="X368" s="3"/>
    </row>
    <row r="369" spans="24:24" ht="14.25" customHeight="1" x14ac:dyDescent="0.25">
      <c r="X369" s="3"/>
    </row>
    <row r="370" spans="24:24" ht="14.25" customHeight="1" x14ac:dyDescent="0.25">
      <c r="X370" s="3"/>
    </row>
    <row r="371" spans="24:24" ht="14.25" customHeight="1" x14ac:dyDescent="0.25">
      <c r="X371" s="3"/>
    </row>
    <row r="372" spans="24:24" ht="14.25" customHeight="1" x14ac:dyDescent="0.25">
      <c r="X372" s="3"/>
    </row>
    <row r="373" spans="24:24" ht="14.25" customHeight="1" x14ac:dyDescent="0.25">
      <c r="X373" s="3"/>
    </row>
    <row r="374" spans="24:24" ht="14.25" customHeight="1" x14ac:dyDescent="0.25">
      <c r="X374" s="3"/>
    </row>
    <row r="375" spans="24:24" ht="14.25" customHeight="1" x14ac:dyDescent="0.25">
      <c r="X375" s="3"/>
    </row>
    <row r="376" spans="24:24" ht="14.25" customHeight="1" x14ac:dyDescent="0.25">
      <c r="X376" s="3"/>
    </row>
    <row r="377" spans="24:24" ht="14.25" customHeight="1" x14ac:dyDescent="0.25">
      <c r="X377" s="3"/>
    </row>
    <row r="378" spans="24:24" ht="14.25" customHeight="1" x14ac:dyDescent="0.25">
      <c r="X378" s="3"/>
    </row>
    <row r="379" spans="24:24" ht="14.25" customHeight="1" x14ac:dyDescent="0.25">
      <c r="X379" s="3"/>
    </row>
    <row r="380" spans="24:24" ht="14.25" customHeight="1" x14ac:dyDescent="0.25">
      <c r="X380" s="3"/>
    </row>
    <row r="381" spans="24:24" ht="14.25" customHeight="1" x14ac:dyDescent="0.25">
      <c r="X381" s="3"/>
    </row>
    <row r="382" spans="24:24" ht="14.25" customHeight="1" x14ac:dyDescent="0.25">
      <c r="X382" s="3"/>
    </row>
    <row r="383" spans="24:24" ht="14.25" customHeight="1" x14ac:dyDescent="0.25">
      <c r="X383" s="3"/>
    </row>
    <row r="384" spans="24:24" ht="14.25" customHeight="1" x14ac:dyDescent="0.25">
      <c r="X384" s="3"/>
    </row>
    <row r="385" spans="11:24" ht="14.25" customHeight="1" x14ac:dyDescent="0.25">
      <c r="X385" s="3"/>
    </row>
    <row r="386" spans="11:24" ht="14.25" customHeight="1" x14ac:dyDescent="0.25">
      <c r="X386" s="3"/>
    </row>
    <row r="387" spans="11:24" ht="14.25" customHeight="1" x14ac:dyDescent="0.25">
      <c r="X387" s="3"/>
    </row>
    <row r="388" spans="11:24" ht="14.25" customHeight="1" x14ac:dyDescent="0.25">
      <c r="X388" s="3"/>
    </row>
    <row r="389" spans="11:24" ht="14.25" customHeight="1" x14ac:dyDescent="0.25">
      <c r="X389" s="3"/>
    </row>
    <row r="390" spans="11:24" ht="14.25" customHeight="1" x14ac:dyDescent="0.25">
      <c r="X390" s="3"/>
    </row>
    <row r="391" spans="11:24" ht="14.25" customHeight="1" x14ac:dyDescent="0.25">
      <c r="X391" s="3"/>
    </row>
    <row r="392" spans="11:24" ht="14.25" customHeight="1" x14ac:dyDescent="0.25">
      <c r="X392" s="3"/>
    </row>
    <row r="393" spans="11:24" ht="14.25" customHeight="1" x14ac:dyDescent="0.25">
      <c r="X393" s="3"/>
    </row>
    <row r="394" spans="11:24" ht="14.25" customHeight="1" x14ac:dyDescent="0.25">
      <c r="X394" s="3"/>
    </row>
    <row r="395" spans="11:24" ht="14.25" customHeight="1" x14ac:dyDescent="0.25">
      <c r="X395" s="3"/>
    </row>
    <row r="396" spans="11:24" ht="14.25" customHeight="1" x14ac:dyDescent="0.25">
      <c r="X396" s="3"/>
    </row>
    <row r="397" spans="11:24" ht="14.25" customHeight="1" x14ac:dyDescent="0.25">
      <c r="X397" s="3"/>
    </row>
    <row r="398" spans="11:24" ht="14.25" customHeight="1" x14ac:dyDescent="0.25">
      <c r="X398" s="3"/>
    </row>
    <row r="399" spans="11:24" ht="14.25" customHeight="1" x14ac:dyDescent="0.25">
      <c r="K399" s="114"/>
      <c r="L399" s="114"/>
      <c r="M399" s="114"/>
      <c r="X399" s="3"/>
    </row>
    <row r="400" spans="11:24" ht="14.25" customHeight="1" x14ac:dyDescent="0.25">
      <c r="K400" s="114"/>
      <c r="X400" s="3"/>
    </row>
    <row r="401" spans="11:24" ht="14.25" customHeight="1" x14ac:dyDescent="0.25">
      <c r="X401" s="3"/>
    </row>
    <row r="402" spans="11:24" ht="14.25" customHeight="1" x14ac:dyDescent="0.25">
      <c r="K402" s="114"/>
      <c r="L402" s="114"/>
      <c r="M402" s="114"/>
      <c r="X402" s="3"/>
    </row>
    <row r="403" spans="11:24" ht="14.25" customHeight="1" x14ac:dyDescent="0.25">
      <c r="K403" s="114"/>
      <c r="X403" s="3"/>
    </row>
    <row r="404" spans="11:24" ht="14.25" customHeight="1" x14ac:dyDescent="0.25">
      <c r="X404" s="3"/>
    </row>
    <row r="405" spans="11:24" ht="14.25" customHeight="1" x14ac:dyDescent="0.25">
      <c r="X405" s="3"/>
    </row>
    <row r="406" spans="11:24" ht="14.25" customHeight="1" x14ac:dyDescent="0.25">
      <c r="X406" s="3"/>
    </row>
    <row r="407" spans="11:24" ht="14.25" customHeight="1" x14ac:dyDescent="0.25">
      <c r="X407" s="3"/>
    </row>
    <row r="408" spans="11:24" ht="14.25" customHeight="1" x14ac:dyDescent="0.25">
      <c r="X408" s="3"/>
    </row>
    <row r="409" spans="11:24" ht="14.25" customHeight="1" x14ac:dyDescent="0.25">
      <c r="X409" s="3"/>
    </row>
    <row r="410" spans="11:24" ht="14.25" customHeight="1" x14ac:dyDescent="0.25">
      <c r="X410" s="3"/>
    </row>
    <row r="411" spans="11:24" ht="14.25" customHeight="1" x14ac:dyDescent="0.25">
      <c r="X411" s="3"/>
    </row>
    <row r="412" spans="11:24" ht="14.25" customHeight="1" x14ac:dyDescent="0.25"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M3:M358 R232 R3:R22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1"/>
  <sheetViews>
    <sheetView workbookViewId="0">
      <selection activeCell="D32" sqref="D32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6.28515625" bestFit="1" customWidth="1"/>
  </cols>
  <sheetData>
    <row r="1" spans="1:7" ht="15.75" thickBot="1" x14ac:dyDescent="0.3">
      <c r="A1" s="179" t="s">
        <v>84</v>
      </c>
      <c r="B1" s="180"/>
      <c r="C1" s="181"/>
      <c r="E1" s="179" t="s">
        <v>84</v>
      </c>
      <c r="F1" s="180"/>
      <c r="G1" s="18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2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2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2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2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2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2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2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2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2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2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2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25">
      <c r="A15" s="159">
        <v>45975</v>
      </c>
      <c r="B15" s="1" t="s">
        <v>84</v>
      </c>
      <c r="C15" s="87">
        <v>268750</v>
      </c>
      <c r="E15" s="158">
        <v>46052</v>
      </c>
      <c r="F15" s="70"/>
      <c r="G15" s="88">
        <f>+SUMIFS(Sueldos[Valor],Sueldos[Fecha],Sueldos2[[#This Row],[Fecha]])</f>
        <v>2798682</v>
      </c>
    </row>
    <row r="16" spans="1:7" x14ac:dyDescent="0.25">
      <c r="A16" s="159">
        <v>45975</v>
      </c>
      <c r="B16" s="1" t="s">
        <v>84</v>
      </c>
      <c r="C16" s="87">
        <v>125000</v>
      </c>
      <c r="E16" s="158">
        <v>46059</v>
      </c>
      <c r="F16" s="70"/>
      <c r="G16" s="88">
        <f>+SUMIFS(Sueldos[Valor],Sueldos[Fecha],Sueldos2[[#This Row],[Fecha]])</f>
        <v>2995483</v>
      </c>
    </row>
    <row r="17" spans="1:7" x14ac:dyDescent="0.25">
      <c r="A17" s="159">
        <v>45975</v>
      </c>
      <c r="B17" s="1" t="s">
        <v>84</v>
      </c>
      <c r="C17" s="87">
        <v>180000</v>
      </c>
      <c r="E17" s="158">
        <v>46066</v>
      </c>
      <c r="F17" s="70"/>
      <c r="G17" s="88">
        <f>+SUMIFS(Sueldos[Valor],Sueldos[Fecha],Sueldos2[[#This Row],[Fecha]])</f>
        <v>2437000</v>
      </c>
    </row>
    <row r="18" spans="1:7" x14ac:dyDescent="0.25">
      <c r="A18" s="159">
        <v>45975</v>
      </c>
      <c r="B18" s="1" t="s">
        <v>84</v>
      </c>
      <c r="C18" s="87">
        <v>574140</v>
      </c>
      <c r="E18" s="158">
        <v>46073</v>
      </c>
      <c r="F18" s="70"/>
      <c r="G18" s="88">
        <f>+SUMIFS(Sueldos[Valor],Sueldos[Fecha],Sueldos2[[#This Row],[Fecha]])</f>
        <v>2323000</v>
      </c>
    </row>
    <row r="19" spans="1:7" x14ac:dyDescent="0.25">
      <c r="A19" s="159">
        <v>45982</v>
      </c>
      <c r="B19" s="1" t="s">
        <v>84</v>
      </c>
      <c r="C19" s="87">
        <v>300000</v>
      </c>
      <c r="E19" s="158">
        <v>46080</v>
      </c>
      <c r="F19" s="70"/>
      <c r="G19" s="88">
        <f>+SUMIFS(Sueldos[Valor],Sueldos[Fecha],Sueldos2[[#This Row],[Fecha]])</f>
        <v>1862114.91</v>
      </c>
    </row>
    <row r="20" spans="1:7" x14ac:dyDescent="0.25">
      <c r="A20" s="159">
        <v>45982</v>
      </c>
      <c r="B20" s="1" t="s">
        <v>84</v>
      </c>
      <c r="C20" s="87">
        <v>206000</v>
      </c>
      <c r="E20" s="158">
        <v>46087</v>
      </c>
      <c r="F20" s="70"/>
      <c r="G20" s="88">
        <f>+SUMIFS(Sueldos[Valor],Sueldos[Fecha],Sueldos2[[#This Row],[Fecha]])</f>
        <v>3044856</v>
      </c>
    </row>
    <row r="21" spans="1:7" x14ac:dyDescent="0.25">
      <c r="A21" s="159">
        <v>45982</v>
      </c>
      <c r="B21" s="1" t="s">
        <v>84</v>
      </c>
      <c r="C21" s="87">
        <v>312969</v>
      </c>
      <c r="E21" s="158">
        <v>46094</v>
      </c>
      <c r="F21" s="70"/>
      <c r="G21" s="88">
        <f>+SUMIFS(Sueldos[Valor],Sueldos[Fecha],Sueldos2[[#This Row],[Fecha]])</f>
        <v>2263392.61</v>
      </c>
    </row>
    <row r="22" spans="1:7" x14ac:dyDescent="0.25">
      <c r="A22" s="159">
        <v>45982</v>
      </c>
      <c r="B22" s="1" t="s">
        <v>84</v>
      </c>
      <c r="C22" s="87">
        <v>280000</v>
      </c>
      <c r="E22" s="158">
        <v>46101</v>
      </c>
      <c r="F22" s="70"/>
      <c r="G22" s="88">
        <f>+SUMIFS(Sueldos[Valor],Sueldos[Fecha],Sueldos2[[#This Row],[Fecha]])</f>
        <v>3402313</v>
      </c>
    </row>
    <row r="23" spans="1:7" x14ac:dyDescent="0.25">
      <c r="A23" s="159">
        <v>45982</v>
      </c>
      <c r="B23" s="1" t="s">
        <v>84</v>
      </c>
      <c r="C23" s="87">
        <v>180000</v>
      </c>
      <c r="E23" s="158">
        <v>46108</v>
      </c>
      <c r="F23" s="70"/>
      <c r="G23" s="88">
        <f>+SUMIFS(Sueldos[Valor],Sueldos[Fecha],Sueldos2[[#This Row],[Fecha]])</f>
        <v>1931815</v>
      </c>
    </row>
    <row r="24" spans="1:7" x14ac:dyDescent="0.25">
      <c r="A24" s="159">
        <v>45982</v>
      </c>
      <c r="B24" s="1" t="s">
        <v>84</v>
      </c>
      <c r="C24" s="87">
        <v>305000</v>
      </c>
      <c r="E24" s="158">
        <v>46113</v>
      </c>
      <c r="F24" s="70"/>
      <c r="G24" s="88">
        <f>+SUMIFS(Sueldos[Valor],Sueldos[Fecha],Sueldos2[[#This Row],[Fecha]])</f>
        <v>3261850</v>
      </c>
    </row>
    <row r="25" spans="1:7" x14ac:dyDescent="0.25">
      <c r="A25" s="159">
        <v>45989</v>
      </c>
      <c r="B25" s="1" t="s">
        <v>84</v>
      </c>
      <c r="C25" s="87">
        <v>300000</v>
      </c>
      <c r="E25" s="158">
        <v>46122</v>
      </c>
      <c r="F25" s="70"/>
      <c r="G25" s="88">
        <f>+SUMIFS(Sueldos[Valor],Sueldos[Fecha],Sueldos2[[#This Row],[Fecha]])</f>
        <v>1740000</v>
      </c>
    </row>
    <row r="26" spans="1:7" x14ac:dyDescent="0.2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88">
        <f>+SUMIFS(Sueldos[Valor],Sueldos[Fecha],Sueldos2[[#This Row],[Fecha]])</f>
        <v>3468465</v>
      </c>
    </row>
    <row r="27" spans="1:7" x14ac:dyDescent="0.25">
      <c r="A27" s="159">
        <v>45989</v>
      </c>
      <c r="B27" s="1" t="s">
        <v>84</v>
      </c>
      <c r="C27" s="87">
        <v>186700</v>
      </c>
    </row>
    <row r="28" spans="1:7" x14ac:dyDescent="0.25">
      <c r="A28" s="159">
        <v>45989</v>
      </c>
      <c r="B28" s="1" t="s">
        <v>84</v>
      </c>
      <c r="C28" s="87">
        <v>564000</v>
      </c>
    </row>
    <row r="29" spans="1:7" x14ac:dyDescent="0.25">
      <c r="A29" s="159">
        <v>45989</v>
      </c>
      <c r="B29" s="1" t="s">
        <v>84</v>
      </c>
      <c r="C29" s="87">
        <v>320000</v>
      </c>
    </row>
    <row r="30" spans="1:7" x14ac:dyDescent="0.25">
      <c r="A30" s="159">
        <v>45989</v>
      </c>
      <c r="B30" s="1" t="s">
        <v>84</v>
      </c>
      <c r="C30" s="87">
        <v>252500</v>
      </c>
    </row>
    <row r="31" spans="1:7" x14ac:dyDescent="0.25">
      <c r="A31" s="159">
        <v>45989</v>
      </c>
      <c r="B31" s="1" t="s">
        <v>84</v>
      </c>
      <c r="C31" s="87">
        <v>180000</v>
      </c>
    </row>
    <row r="32" spans="1:7" x14ac:dyDescent="0.25">
      <c r="A32" s="159">
        <v>45989</v>
      </c>
      <c r="B32" s="1" t="s">
        <v>84</v>
      </c>
      <c r="C32" s="87">
        <v>575000</v>
      </c>
    </row>
    <row r="33" spans="1:3" x14ac:dyDescent="0.25">
      <c r="A33" s="159">
        <v>45996</v>
      </c>
      <c r="B33" s="1" t="s">
        <v>84</v>
      </c>
      <c r="C33" s="87">
        <v>1500000</v>
      </c>
    </row>
    <row r="34" spans="1:3" x14ac:dyDescent="0.25">
      <c r="A34" s="159">
        <v>45996</v>
      </c>
      <c r="B34" s="1" t="s">
        <v>84</v>
      </c>
      <c r="C34" s="87">
        <v>204000</v>
      </c>
    </row>
    <row r="35" spans="1:3" x14ac:dyDescent="0.25">
      <c r="A35" s="159">
        <v>45996</v>
      </c>
      <c r="B35" s="1" t="s">
        <v>84</v>
      </c>
      <c r="C35" s="87">
        <v>287500</v>
      </c>
    </row>
    <row r="36" spans="1:3" x14ac:dyDescent="0.25">
      <c r="A36" s="159">
        <v>45996</v>
      </c>
      <c r="B36" s="1" t="s">
        <v>84</v>
      </c>
      <c r="C36" s="87">
        <v>280000</v>
      </c>
    </row>
    <row r="37" spans="1:3" x14ac:dyDescent="0.25">
      <c r="A37" s="159">
        <v>45996</v>
      </c>
      <c r="B37" s="1" t="s">
        <v>84</v>
      </c>
      <c r="C37" s="87">
        <v>180000</v>
      </c>
    </row>
    <row r="38" spans="1:3" x14ac:dyDescent="0.25">
      <c r="A38" s="159">
        <v>45996</v>
      </c>
      <c r="B38" s="1" t="s">
        <v>84</v>
      </c>
      <c r="C38" s="87">
        <v>287375</v>
      </c>
    </row>
    <row r="39" spans="1:3" x14ac:dyDescent="0.25">
      <c r="A39" s="159">
        <v>46003</v>
      </c>
      <c r="B39" s="1" t="s">
        <v>84</v>
      </c>
      <c r="C39" s="87">
        <v>280000</v>
      </c>
    </row>
    <row r="40" spans="1:3" x14ac:dyDescent="0.25">
      <c r="A40" s="159">
        <v>46003</v>
      </c>
      <c r="B40" s="1" t="s">
        <v>84</v>
      </c>
      <c r="C40" s="87">
        <v>200000</v>
      </c>
    </row>
    <row r="41" spans="1:3" x14ac:dyDescent="0.25">
      <c r="A41" s="159">
        <v>46003</v>
      </c>
      <c r="B41" s="1" t="s">
        <v>84</v>
      </c>
      <c r="C41" s="87">
        <v>662379</v>
      </c>
    </row>
    <row r="42" spans="1:3" x14ac:dyDescent="0.25">
      <c r="A42" s="159">
        <v>46003</v>
      </c>
      <c r="B42" s="1" t="s">
        <v>84</v>
      </c>
      <c r="C42" s="87">
        <v>386594</v>
      </c>
    </row>
    <row r="43" spans="1:3" x14ac:dyDescent="0.25">
      <c r="A43" s="159">
        <v>46003</v>
      </c>
      <c r="B43" s="1" t="s">
        <v>84</v>
      </c>
      <c r="C43" s="87">
        <v>792500</v>
      </c>
    </row>
    <row r="44" spans="1:3" x14ac:dyDescent="0.25">
      <c r="A44" s="159">
        <v>46003</v>
      </c>
      <c r="B44" s="1" t="s">
        <v>84</v>
      </c>
      <c r="C44" s="87">
        <v>180000</v>
      </c>
    </row>
    <row r="45" spans="1:3" x14ac:dyDescent="0.25">
      <c r="A45" s="159">
        <v>46003</v>
      </c>
      <c r="B45" s="1" t="s">
        <v>84</v>
      </c>
      <c r="C45" s="87">
        <v>575000</v>
      </c>
    </row>
    <row r="46" spans="1:3" x14ac:dyDescent="0.25">
      <c r="A46" s="159">
        <v>46010</v>
      </c>
      <c r="B46" s="1" t="s">
        <v>84</v>
      </c>
      <c r="C46" s="87">
        <v>174000</v>
      </c>
    </row>
    <row r="47" spans="1:3" x14ac:dyDescent="0.25">
      <c r="A47" s="159">
        <v>46010</v>
      </c>
      <c r="B47" s="1" t="s">
        <v>84</v>
      </c>
      <c r="C47" s="87">
        <v>750000</v>
      </c>
    </row>
    <row r="48" spans="1:3" x14ac:dyDescent="0.25">
      <c r="A48" s="159">
        <v>46010</v>
      </c>
      <c r="B48" s="1" t="s">
        <v>84</v>
      </c>
      <c r="C48" s="87">
        <v>232330</v>
      </c>
    </row>
    <row r="49" spans="1:3" x14ac:dyDescent="0.25">
      <c r="A49" s="159">
        <v>46010</v>
      </c>
      <c r="B49" s="1" t="s">
        <v>84</v>
      </c>
      <c r="C49" s="87">
        <v>649999.99</v>
      </c>
    </row>
    <row r="50" spans="1:3" x14ac:dyDescent="0.25">
      <c r="A50" s="159">
        <v>46010</v>
      </c>
      <c r="B50" s="1" t="s">
        <v>84</v>
      </c>
      <c r="C50" s="87">
        <v>180000</v>
      </c>
    </row>
    <row r="51" spans="1:3" x14ac:dyDescent="0.25">
      <c r="A51" s="159">
        <v>46010</v>
      </c>
      <c r="B51" s="1" t="s">
        <v>84</v>
      </c>
      <c r="C51" s="87">
        <v>895469</v>
      </c>
    </row>
    <row r="52" spans="1:3" x14ac:dyDescent="0.25">
      <c r="A52" s="159">
        <v>46017</v>
      </c>
      <c r="B52" s="1" t="s">
        <v>84</v>
      </c>
      <c r="C52" s="87">
        <v>315000</v>
      </c>
    </row>
    <row r="53" spans="1:3" x14ac:dyDescent="0.25">
      <c r="A53" s="159">
        <v>46017</v>
      </c>
      <c r="B53" s="1" t="s">
        <v>84</v>
      </c>
      <c r="C53" s="87">
        <v>840000</v>
      </c>
    </row>
    <row r="54" spans="1:3" x14ac:dyDescent="0.25">
      <c r="A54" s="159">
        <v>46017</v>
      </c>
      <c r="B54" s="1" t="s">
        <v>84</v>
      </c>
      <c r="C54" s="87">
        <v>130000</v>
      </c>
    </row>
    <row r="55" spans="1:3" x14ac:dyDescent="0.25">
      <c r="A55" s="159">
        <v>46017</v>
      </c>
      <c r="B55" s="1" t="s">
        <v>84</v>
      </c>
      <c r="C55" s="87">
        <v>664500</v>
      </c>
    </row>
    <row r="56" spans="1:3" x14ac:dyDescent="0.25">
      <c r="A56" s="159">
        <v>46017</v>
      </c>
      <c r="B56" s="1" t="s">
        <v>84</v>
      </c>
      <c r="C56" s="87">
        <v>288750</v>
      </c>
    </row>
    <row r="57" spans="1:3" x14ac:dyDescent="0.25">
      <c r="A57" s="159">
        <v>46017</v>
      </c>
      <c r="B57" s="1" t="s">
        <v>84</v>
      </c>
      <c r="C57" s="87">
        <v>90000</v>
      </c>
    </row>
    <row r="58" spans="1:3" x14ac:dyDescent="0.25">
      <c r="A58" s="159">
        <v>46017</v>
      </c>
      <c r="B58" s="1" t="s">
        <v>84</v>
      </c>
      <c r="C58" s="87">
        <v>150000</v>
      </c>
    </row>
    <row r="59" spans="1:3" x14ac:dyDescent="0.25">
      <c r="A59" s="159">
        <v>46024</v>
      </c>
      <c r="B59" s="1" t="s">
        <v>84</v>
      </c>
      <c r="C59" s="87">
        <v>300000</v>
      </c>
    </row>
    <row r="60" spans="1:3" x14ac:dyDescent="0.25">
      <c r="A60" s="159">
        <v>46024</v>
      </c>
      <c r="B60" s="1" t="s">
        <v>84</v>
      </c>
      <c r="C60" s="87">
        <v>125000</v>
      </c>
    </row>
    <row r="61" spans="1:3" x14ac:dyDescent="0.25">
      <c r="A61" s="159">
        <v>46024</v>
      </c>
      <c r="B61" s="1" t="s">
        <v>84</v>
      </c>
      <c r="C61" s="87">
        <v>280000</v>
      </c>
    </row>
    <row r="62" spans="1:3" x14ac:dyDescent="0.25">
      <c r="A62" s="159">
        <v>46024</v>
      </c>
      <c r="B62" s="1" t="s">
        <v>84</v>
      </c>
      <c r="C62" s="87">
        <v>285828</v>
      </c>
    </row>
    <row r="63" spans="1:3" x14ac:dyDescent="0.25">
      <c r="A63" s="159">
        <v>46031</v>
      </c>
      <c r="B63" s="1" t="s">
        <v>84</v>
      </c>
      <c r="C63" s="87">
        <v>300000</v>
      </c>
    </row>
    <row r="64" spans="1:3" x14ac:dyDescent="0.25">
      <c r="A64" s="159">
        <v>46031</v>
      </c>
      <c r="B64" s="1" t="s">
        <v>84</v>
      </c>
      <c r="C64" s="87">
        <v>280000</v>
      </c>
    </row>
    <row r="65" spans="1:3" x14ac:dyDescent="0.25">
      <c r="A65" s="159">
        <v>46031</v>
      </c>
      <c r="B65" s="1" t="s">
        <v>84</v>
      </c>
      <c r="C65" s="87">
        <v>163000</v>
      </c>
    </row>
    <row r="66" spans="1:3" x14ac:dyDescent="0.25">
      <c r="A66" s="159">
        <v>46031</v>
      </c>
      <c r="B66" s="1" t="s">
        <v>84</v>
      </c>
      <c r="C66" s="87">
        <v>728390.625</v>
      </c>
    </row>
    <row r="67" spans="1:3" x14ac:dyDescent="0.25">
      <c r="A67" s="159">
        <v>46031</v>
      </c>
      <c r="B67" s="1" t="s">
        <v>84</v>
      </c>
      <c r="C67" s="87">
        <v>274856</v>
      </c>
    </row>
    <row r="68" spans="1:3" x14ac:dyDescent="0.25">
      <c r="A68" s="159">
        <v>46031</v>
      </c>
      <c r="B68" s="1" t="s">
        <v>84</v>
      </c>
      <c r="C68" s="87">
        <v>250000</v>
      </c>
    </row>
    <row r="69" spans="1:3" x14ac:dyDescent="0.25">
      <c r="A69" s="159">
        <v>46031</v>
      </c>
      <c r="B69" s="1" t="s">
        <v>84</v>
      </c>
      <c r="C69" s="87">
        <v>180000</v>
      </c>
    </row>
    <row r="70" spans="1:3" x14ac:dyDescent="0.25">
      <c r="A70" s="159">
        <v>46031</v>
      </c>
      <c r="B70" s="1" t="s">
        <v>84</v>
      </c>
      <c r="C70" s="87">
        <v>160000</v>
      </c>
    </row>
    <row r="71" spans="1:3" x14ac:dyDescent="0.25">
      <c r="A71" s="159">
        <v>46031</v>
      </c>
      <c r="B71" s="1" t="s">
        <v>84</v>
      </c>
      <c r="C71" s="87">
        <v>725000</v>
      </c>
    </row>
    <row r="72" spans="1:3" x14ac:dyDescent="0.25">
      <c r="A72" s="159">
        <v>46038</v>
      </c>
      <c r="B72" s="1" t="s">
        <v>84</v>
      </c>
      <c r="C72" s="87">
        <v>300000</v>
      </c>
    </row>
    <row r="73" spans="1:3" x14ac:dyDescent="0.25">
      <c r="A73" s="159">
        <v>46038</v>
      </c>
      <c r="B73" s="1" t="s">
        <v>84</v>
      </c>
      <c r="C73" s="87">
        <v>178000</v>
      </c>
    </row>
    <row r="74" spans="1:3" x14ac:dyDescent="0.25">
      <c r="A74" s="159">
        <v>46038</v>
      </c>
      <c r="B74" s="1" t="s">
        <v>84</v>
      </c>
      <c r="C74" s="87">
        <v>250000</v>
      </c>
    </row>
    <row r="75" spans="1:3" x14ac:dyDescent="0.25">
      <c r="A75" s="159">
        <v>46038</v>
      </c>
      <c r="B75" s="1" t="s">
        <v>84</v>
      </c>
      <c r="C75" s="87">
        <v>280048</v>
      </c>
    </row>
    <row r="76" spans="1:3" x14ac:dyDescent="0.25">
      <c r="A76" s="159">
        <v>46038</v>
      </c>
      <c r="B76" s="1" t="s">
        <v>84</v>
      </c>
      <c r="C76" s="87">
        <v>180000</v>
      </c>
    </row>
    <row r="77" spans="1:3" x14ac:dyDescent="0.25">
      <c r="A77" s="159">
        <v>46038</v>
      </c>
      <c r="B77" s="1" t="s">
        <v>84</v>
      </c>
      <c r="C77" s="87">
        <v>220000</v>
      </c>
    </row>
    <row r="78" spans="1:3" x14ac:dyDescent="0.25">
      <c r="A78" s="159">
        <v>46038</v>
      </c>
      <c r="B78" s="1" t="s">
        <v>84</v>
      </c>
      <c r="C78" s="87">
        <v>308000</v>
      </c>
    </row>
    <row r="79" spans="1:3" x14ac:dyDescent="0.25">
      <c r="A79" s="159">
        <v>46045</v>
      </c>
      <c r="B79" s="1" t="s">
        <v>84</v>
      </c>
      <c r="C79" s="87">
        <v>300000.21999999997</v>
      </c>
    </row>
    <row r="80" spans="1:3" x14ac:dyDescent="0.25">
      <c r="A80" s="159">
        <v>46045</v>
      </c>
      <c r="B80" s="1" t="s">
        <v>84</v>
      </c>
      <c r="C80" s="87">
        <v>280000</v>
      </c>
    </row>
    <row r="81" spans="1:3" x14ac:dyDescent="0.25">
      <c r="A81" s="159">
        <v>46045</v>
      </c>
      <c r="B81" s="1" t="s">
        <v>84</v>
      </c>
      <c r="C81" s="87">
        <v>202000</v>
      </c>
    </row>
    <row r="82" spans="1:3" x14ac:dyDescent="0.25">
      <c r="A82" s="159">
        <v>46045</v>
      </c>
      <c r="B82" s="1" t="s">
        <v>84</v>
      </c>
      <c r="C82" s="87">
        <v>649990</v>
      </c>
    </row>
    <row r="83" spans="1:3" x14ac:dyDescent="0.25">
      <c r="A83" s="159">
        <v>46045</v>
      </c>
      <c r="B83" s="1" t="s">
        <v>84</v>
      </c>
      <c r="C83" s="87">
        <v>330000</v>
      </c>
    </row>
    <row r="84" spans="1:3" x14ac:dyDescent="0.25">
      <c r="A84" s="159">
        <v>46045</v>
      </c>
      <c r="B84" s="1" t="s">
        <v>84</v>
      </c>
      <c r="C84" s="87">
        <v>250000</v>
      </c>
    </row>
    <row r="85" spans="1:3" x14ac:dyDescent="0.25">
      <c r="A85" s="159">
        <v>46045</v>
      </c>
      <c r="B85" s="1" t="s">
        <v>84</v>
      </c>
      <c r="C85" s="87">
        <v>270000</v>
      </c>
    </row>
    <row r="86" spans="1:3" x14ac:dyDescent="0.25">
      <c r="A86" s="159">
        <v>46045</v>
      </c>
      <c r="B86" s="1" t="s">
        <v>84</v>
      </c>
      <c r="C86" s="87">
        <v>200000</v>
      </c>
    </row>
    <row r="87" spans="1:3" x14ac:dyDescent="0.25">
      <c r="A87" s="159">
        <v>46045</v>
      </c>
      <c r="B87" s="1" t="s">
        <v>84</v>
      </c>
      <c r="C87" s="87">
        <v>425000</v>
      </c>
    </row>
    <row r="88" spans="1:3" x14ac:dyDescent="0.25">
      <c r="A88" s="159">
        <v>46052</v>
      </c>
      <c r="B88" s="1" t="s">
        <v>84</v>
      </c>
      <c r="C88" s="87">
        <v>429938</v>
      </c>
    </row>
    <row r="89" spans="1:3" x14ac:dyDescent="0.25">
      <c r="A89" s="159">
        <v>46052</v>
      </c>
      <c r="B89" s="1" t="s">
        <v>84</v>
      </c>
      <c r="C89" s="87">
        <v>189000</v>
      </c>
    </row>
    <row r="90" spans="1:3" x14ac:dyDescent="0.25">
      <c r="A90" s="159">
        <v>46052</v>
      </c>
      <c r="B90" s="1" t="s">
        <v>84</v>
      </c>
      <c r="C90" s="87">
        <v>350000</v>
      </c>
    </row>
    <row r="91" spans="1:3" x14ac:dyDescent="0.25">
      <c r="A91" s="159">
        <v>46052</v>
      </c>
      <c r="B91" s="1" t="s">
        <v>84</v>
      </c>
      <c r="C91" s="87">
        <v>840000</v>
      </c>
    </row>
    <row r="92" spans="1:3" x14ac:dyDescent="0.25">
      <c r="A92" s="159">
        <v>46052</v>
      </c>
      <c r="B92" s="1" t="s">
        <v>84</v>
      </c>
      <c r="C92" s="87">
        <v>290000</v>
      </c>
    </row>
    <row r="93" spans="1:3" x14ac:dyDescent="0.25">
      <c r="A93" s="159">
        <v>46052</v>
      </c>
      <c r="B93" s="1" t="s">
        <v>84</v>
      </c>
      <c r="C93" s="87">
        <v>200000</v>
      </c>
    </row>
    <row r="94" spans="1:3" x14ac:dyDescent="0.25">
      <c r="A94" s="159">
        <v>46052</v>
      </c>
      <c r="B94" s="1" t="s">
        <v>84</v>
      </c>
      <c r="C94" s="87">
        <v>499744</v>
      </c>
    </row>
    <row r="95" spans="1:3" x14ac:dyDescent="0.25">
      <c r="A95" s="159">
        <v>46059</v>
      </c>
      <c r="B95" s="1" t="s">
        <v>84</v>
      </c>
      <c r="C95" s="87">
        <v>300000</v>
      </c>
    </row>
    <row r="96" spans="1:3" x14ac:dyDescent="0.25">
      <c r="A96" s="159">
        <v>46059</v>
      </c>
      <c r="B96" s="1" t="s">
        <v>84</v>
      </c>
      <c r="C96" s="87">
        <v>189000</v>
      </c>
    </row>
    <row r="97" spans="1:3" x14ac:dyDescent="0.25">
      <c r="A97" s="159">
        <v>46059</v>
      </c>
      <c r="B97" s="1" t="s">
        <v>84</v>
      </c>
      <c r="C97" s="87">
        <v>746483</v>
      </c>
    </row>
    <row r="98" spans="1:3" x14ac:dyDescent="0.25">
      <c r="A98" s="159">
        <v>46059</v>
      </c>
      <c r="B98" s="1" t="s">
        <v>84</v>
      </c>
      <c r="C98" s="87">
        <v>330000</v>
      </c>
    </row>
    <row r="99" spans="1:3" x14ac:dyDescent="0.25">
      <c r="A99" s="159">
        <v>46059</v>
      </c>
      <c r="B99" s="1" t="s">
        <v>84</v>
      </c>
      <c r="C99" s="87">
        <v>340000</v>
      </c>
    </row>
    <row r="100" spans="1:3" x14ac:dyDescent="0.25">
      <c r="A100" s="159">
        <v>46059</v>
      </c>
      <c r="B100" s="1" t="s">
        <v>84</v>
      </c>
      <c r="C100" s="87">
        <v>180000</v>
      </c>
    </row>
    <row r="101" spans="1:3" x14ac:dyDescent="0.25">
      <c r="A101" s="159">
        <v>46059</v>
      </c>
      <c r="B101" s="1" t="s">
        <v>84</v>
      </c>
      <c r="C101" s="87">
        <v>160000</v>
      </c>
    </row>
    <row r="102" spans="1:3" x14ac:dyDescent="0.25">
      <c r="A102" s="159">
        <v>46059</v>
      </c>
      <c r="B102" s="1" t="s">
        <v>84</v>
      </c>
      <c r="C102" s="87">
        <v>750000</v>
      </c>
    </row>
    <row r="103" spans="1:3" x14ac:dyDescent="0.25">
      <c r="A103" s="159">
        <v>46066</v>
      </c>
      <c r="B103" s="1" t="s">
        <v>84</v>
      </c>
      <c r="C103" s="87">
        <v>300000</v>
      </c>
    </row>
    <row r="104" spans="1:3" x14ac:dyDescent="0.25">
      <c r="A104" s="159">
        <v>46066</v>
      </c>
      <c r="B104" s="1" t="s">
        <v>84</v>
      </c>
      <c r="C104" s="87">
        <v>262000</v>
      </c>
    </row>
    <row r="105" spans="1:3" x14ac:dyDescent="0.25">
      <c r="A105" s="159">
        <v>46066</v>
      </c>
      <c r="B105" s="1" t="s">
        <v>84</v>
      </c>
      <c r="C105" s="87">
        <v>290000</v>
      </c>
    </row>
    <row r="106" spans="1:3" x14ac:dyDescent="0.25">
      <c r="A106" s="159">
        <v>46066</v>
      </c>
      <c r="B106" s="1" t="s">
        <v>84</v>
      </c>
      <c r="C106" s="87">
        <v>80000</v>
      </c>
    </row>
    <row r="107" spans="1:3" x14ac:dyDescent="0.25">
      <c r="A107" s="159">
        <v>46066</v>
      </c>
      <c r="B107" s="1" t="s">
        <v>84</v>
      </c>
      <c r="C107" s="87">
        <v>200000</v>
      </c>
    </row>
    <row r="108" spans="1:3" x14ac:dyDescent="0.25">
      <c r="A108" s="159">
        <v>46066</v>
      </c>
      <c r="B108" s="1" t="s">
        <v>84</v>
      </c>
      <c r="C108" s="87">
        <v>975000</v>
      </c>
    </row>
    <row r="109" spans="1:3" x14ac:dyDescent="0.25">
      <c r="A109" s="159">
        <v>46066</v>
      </c>
      <c r="B109" s="1" t="s">
        <v>84</v>
      </c>
      <c r="C109" s="87">
        <v>330000</v>
      </c>
    </row>
    <row r="110" spans="1:3" x14ac:dyDescent="0.25">
      <c r="A110" s="159">
        <v>46073</v>
      </c>
      <c r="B110" s="1" t="s">
        <v>84</v>
      </c>
      <c r="C110" s="87">
        <v>345000</v>
      </c>
    </row>
    <row r="111" spans="1:3" x14ac:dyDescent="0.25">
      <c r="A111" s="159">
        <v>46073</v>
      </c>
      <c r="B111" s="1" t="s">
        <v>84</v>
      </c>
      <c r="C111" s="87">
        <v>280000</v>
      </c>
    </row>
    <row r="112" spans="1:3" x14ac:dyDescent="0.25">
      <c r="A112" s="159">
        <v>46073</v>
      </c>
      <c r="B112" s="1" t="s">
        <v>84</v>
      </c>
      <c r="C112" s="87">
        <v>123000</v>
      </c>
    </row>
    <row r="113" spans="1:3" x14ac:dyDescent="0.25">
      <c r="A113" s="159">
        <v>46073</v>
      </c>
      <c r="B113" s="1" t="s">
        <v>84</v>
      </c>
      <c r="C113" s="87">
        <v>330000</v>
      </c>
    </row>
    <row r="114" spans="1:3" x14ac:dyDescent="0.25">
      <c r="A114" s="159">
        <v>46073</v>
      </c>
      <c r="B114" s="1" t="s">
        <v>84</v>
      </c>
      <c r="C114" s="87">
        <v>295000</v>
      </c>
    </row>
    <row r="115" spans="1:3" x14ac:dyDescent="0.25">
      <c r="A115" s="159">
        <v>46073</v>
      </c>
      <c r="B115" s="1" t="s">
        <v>84</v>
      </c>
      <c r="C115" s="87">
        <v>200000</v>
      </c>
    </row>
    <row r="116" spans="1:3" x14ac:dyDescent="0.25">
      <c r="A116" s="159">
        <v>46073</v>
      </c>
      <c r="B116" s="1" t="s">
        <v>84</v>
      </c>
      <c r="C116" s="87">
        <v>750000</v>
      </c>
    </row>
    <row r="117" spans="1:3" x14ac:dyDescent="0.25">
      <c r="A117" s="159">
        <v>46080</v>
      </c>
      <c r="B117" s="1" t="s">
        <v>84</v>
      </c>
      <c r="C117" s="87">
        <v>344999.91</v>
      </c>
    </row>
    <row r="118" spans="1:3" x14ac:dyDescent="0.25">
      <c r="A118" s="159">
        <v>46080</v>
      </c>
      <c r="B118" s="1" t="s">
        <v>84</v>
      </c>
      <c r="C118" s="87">
        <v>196000</v>
      </c>
    </row>
    <row r="119" spans="1:3" x14ac:dyDescent="0.25">
      <c r="A119" s="159">
        <v>46080</v>
      </c>
      <c r="B119" s="1" t="s">
        <v>84</v>
      </c>
      <c r="C119" s="87">
        <v>291927</v>
      </c>
    </row>
    <row r="120" spans="1:3" x14ac:dyDescent="0.25">
      <c r="A120" s="159">
        <v>46080</v>
      </c>
      <c r="B120" s="1" t="s">
        <v>84</v>
      </c>
      <c r="C120" s="87">
        <v>280000</v>
      </c>
    </row>
    <row r="121" spans="1:3" x14ac:dyDescent="0.25">
      <c r="A121" s="159">
        <v>46080</v>
      </c>
      <c r="B121" s="1" t="s">
        <v>84</v>
      </c>
      <c r="C121" s="87">
        <v>180000</v>
      </c>
    </row>
    <row r="122" spans="1:3" x14ac:dyDescent="0.25">
      <c r="A122" s="159">
        <v>46080</v>
      </c>
      <c r="B122" s="1" t="s">
        <v>84</v>
      </c>
      <c r="C122" s="87">
        <v>200000</v>
      </c>
    </row>
    <row r="123" spans="1:3" x14ac:dyDescent="0.25">
      <c r="A123" s="159">
        <v>46080</v>
      </c>
      <c r="B123" s="1" t="s">
        <v>84</v>
      </c>
      <c r="C123" s="87">
        <v>369188</v>
      </c>
    </row>
    <row r="124" spans="1:3" x14ac:dyDescent="0.25">
      <c r="A124" s="159">
        <v>46087</v>
      </c>
      <c r="B124" s="1" t="s">
        <v>84</v>
      </c>
      <c r="C124" s="87">
        <v>359016</v>
      </c>
    </row>
    <row r="125" spans="1:3" x14ac:dyDescent="0.25">
      <c r="A125" s="159">
        <v>46087</v>
      </c>
      <c r="B125" s="1" t="s">
        <v>84</v>
      </c>
      <c r="C125" s="87">
        <v>280000</v>
      </c>
    </row>
    <row r="126" spans="1:3" x14ac:dyDescent="0.25">
      <c r="A126" s="159">
        <v>46087</v>
      </c>
      <c r="B126" s="1" t="s">
        <v>84</v>
      </c>
      <c r="C126" s="87">
        <v>219000</v>
      </c>
    </row>
    <row r="127" spans="1:3" x14ac:dyDescent="0.25">
      <c r="A127" s="159">
        <v>46087</v>
      </c>
      <c r="B127" s="1" t="s">
        <v>84</v>
      </c>
      <c r="C127" s="87">
        <v>402209</v>
      </c>
    </row>
    <row r="128" spans="1:3" x14ac:dyDescent="0.25">
      <c r="A128" s="159">
        <v>46087</v>
      </c>
      <c r="B128" s="1" t="s">
        <v>84</v>
      </c>
      <c r="C128" s="87">
        <v>343406</v>
      </c>
    </row>
    <row r="129" spans="1:3" x14ac:dyDescent="0.25">
      <c r="A129" s="159">
        <v>46087</v>
      </c>
      <c r="B129" s="1" t="s">
        <v>84</v>
      </c>
      <c r="C129" s="87">
        <v>311225</v>
      </c>
    </row>
    <row r="130" spans="1:3" x14ac:dyDescent="0.25">
      <c r="A130" s="159">
        <v>46087</v>
      </c>
      <c r="B130" s="1" t="s">
        <v>84</v>
      </c>
      <c r="C130" s="87">
        <v>180000</v>
      </c>
    </row>
    <row r="131" spans="1:3" x14ac:dyDescent="0.25">
      <c r="A131" s="159">
        <v>46087</v>
      </c>
      <c r="B131" s="1" t="s">
        <v>84</v>
      </c>
      <c r="C131" s="87">
        <v>200000</v>
      </c>
    </row>
    <row r="132" spans="1:3" x14ac:dyDescent="0.25">
      <c r="A132" s="159">
        <v>46087</v>
      </c>
      <c r="B132" s="1" t="s">
        <v>84</v>
      </c>
      <c r="C132" s="87">
        <v>750000</v>
      </c>
    </row>
    <row r="133" spans="1:3" x14ac:dyDescent="0.25">
      <c r="A133" s="159">
        <v>46094</v>
      </c>
      <c r="B133" s="1" t="s">
        <v>84</v>
      </c>
      <c r="C133" s="87">
        <v>383829.61</v>
      </c>
    </row>
    <row r="134" spans="1:3" x14ac:dyDescent="0.25">
      <c r="A134" s="159">
        <v>46094</v>
      </c>
      <c r="B134" s="1" t="s">
        <v>84</v>
      </c>
      <c r="C134" s="87">
        <v>235000</v>
      </c>
    </row>
    <row r="135" spans="1:3" x14ac:dyDescent="0.25">
      <c r="A135" s="159">
        <v>46094</v>
      </c>
      <c r="B135" s="1" t="s">
        <v>84</v>
      </c>
      <c r="C135" s="87">
        <v>297500</v>
      </c>
    </row>
    <row r="136" spans="1:3" x14ac:dyDescent="0.25">
      <c r="A136" s="159">
        <v>46094</v>
      </c>
      <c r="B136" s="1" t="s">
        <v>84</v>
      </c>
      <c r="C136" s="87">
        <v>250000</v>
      </c>
    </row>
    <row r="137" spans="1:3" x14ac:dyDescent="0.25">
      <c r="A137" s="159">
        <v>46094</v>
      </c>
      <c r="B137" s="1" t="s">
        <v>84</v>
      </c>
      <c r="C137" s="87">
        <v>270000</v>
      </c>
    </row>
    <row r="138" spans="1:3" x14ac:dyDescent="0.25">
      <c r="A138" s="159">
        <v>46094</v>
      </c>
      <c r="B138" s="1" t="s">
        <v>84</v>
      </c>
      <c r="C138" s="87">
        <v>200000</v>
      </c>
    </row>
    <row r="139" spans="1:3" x14ac:dyDescent="0.25">
      <c r="A139" s="159">
        <v>46094</v>
      </c>
      <c r="B139" s="1" t="s">
        <v>84</v>
      </c>
      <c r="C139" s="87">
        <v>200000</v>
      </c>
    </row>
    <row r="140" spans="1:3" x14ac:dyDescent="0.25">
      <c r="A140" s="159">
        <v>46094</v>
      </c>
      <c r="B140" s="1" t="s">
        <v>84</v>
      </c>
      <c r="C140" s="87">
        <v>427063</v>
      </c>
    </row>
    <row r="141" spans="1:3" x14ac:dyDescent="0.25">
      <c r="A141" s="159">
        <v>46101</v>
      </c>
      <c r="B141" s="1" t="s">
        <v>84</v>
      </c>
      <c r="C141" s="87">
        <v>397181</v>
      </c>
    </row>
    <row r="142" spans="1:3" x14ac:dyDescent="0.25">
      <c r="A142" s="159">
        <v>46101</v>
      </c>
      <c r="B142" s="1" t="s">
        <v>84</v>
      </c>
      <c r="C142" s="87">
        <v>280000</v>
      </c>
    </row>
    <row r="143" spans="1:3" x14ac:dyDescent="0.25">
      <c r="A143" s="159">
        <v>46101</v>
      </c>
      <c r="B143" s="1" t="s">
        <v>84</v>
      </c>
      <c r="C143" s="87">
        <v>241000</v>
      </c>
    </row>
    <row r="144" spans="1:3" x14ac:dyDescent="0.25">
      <c r="A144" s="159">
        <v>46101</v>
      </c>
      <c r="B144" s="1" t="s">
        <v>84</v>
      </c>
      <c r="C144" s="87">
        <v>761632</v>
      </c>
    </row>
    <row r="145" spans="1:3" x14ac:dyDescent="0.25">
      <c r="A145" s="159">
        <v>46101</v>
      </c>
      <c r="B145" s="1" t="s">
        <v>84</v>
      </c>
      <c r="C145" s="87">
        <v>442500</v>
      </c>
    </row>
    <row r="146" spans="1:3" x14ac:dyDescent="0.25">
      <c r="A146" s="159">
        <v>46101</v>
      </c>
      <c r="B146" s="1" t="s">
        <v>84</v>
      </c>
      <c r="C146" s="87">
        <v>300000</v>
      </c>
    </row>
    <row r="147" spans="1:3" x14ac:dyDescent="0.25">
      <c r="A147" s="159">
        <v>46101</v>
      </c>
      <c r="B147" s="1" t="s">
        <v>84</v>
      </c>
      <c r="C147" s="87">
        <v>270000</v>
      </c>
    </row>
    <row r="148" spans="1:3" x14ac:dyDescent="0.25">
      <c r="A148" s="159">
        <v>46101</v>
      </c>
      <c r="B148" s="1" t="s">
        <v>84</v>
      </c>
      <c r="C148" s="87">
        <v>160000</v>
      </c>
    </row>
    <row r="149" spans="1:3" x14ac:dyDescent="0.25">
      <c r="A149" s="159">
        <v>46101</v>
      </c>
      <c r="B149" s="1" t="s">
        <v>84</v>
      </c>
      <c r="C149" s="87">
        <v>550000</v>
      </c>
    </row>
    <row r="150" spans="1:3" x14ac:dyDescent="0.25">
      <c r="A150" s="159">
        <v>46108</v>
      </c>
      <c r="B150" s="1" t="s">
        <v>84</v>
      </c>
      <c r="C150" s="87">
        <v>370875</v>
      </c>
    </row>
    <row r="151" spans="1:3" x14ac:dyDescent="0.25">
      <c r="A151" s="159">
        <v>46108</v>
      </c>
      <c r="B151" s="1" t="s">
        <v>84</v>
      </c>
      <c r="C151" s="87">
        <v>200000</v>
      </c>
    </row>
    <row r="152" spans="1:3" x14ac:dyDescent="0.25">
      <c r="A152" s="159">
        <v>46108</v>
      </c>
      <c r="B152" s="1" t="s">
        <v>84</v>
      </c>
      <c r="C152" s="87">
        <v>296190</v>
      </c>
    </row>
    <row r="153" spans="1:3" x14ac:dyDescent="0.25">
      <c r="A153" s="159">
        <v>46108</v>
      </c>
      <c r="B153" s="1" t="s">
        <v>84</v>
      </c>
      <c r="C153" s="87">
        <v>280000</v>
      </c>
    </row>
    <row r="154" spans="1:3" x14ac:dyDescent="0.25">
      <c r="A154" s="159">
        <v>46108</v>
      </c>
      <c r="B154" s="1" t="s">
        <v>84</v>
      </c>
      <c r="C154" s="87">
        <v>270000</v>
      </c>
    </row>
    <row r="155" spans="1:3" x14ac:dyDescent="0.25">
      <c r="A155" s="159">
        <v>46108</v>
      </c>
      <c r="B155" s="1" t="s">
        <v>84</v>
      </c>
      <c r="C155" s="87">
        <v>160000</v>
      </c>
    </row>
    <row r="156" spans="1:3" x14ac:dyDescent="0.25">
      <c r="A156" s="159">
        <v>46108</v>
      </c>
      <c r="B156" s="1" t="s">
        <v>84</v>
      </c>
      <c r="C156" s="87">
        <v>354750</v>
      </c>
    </row>
    <row r="157" spans="1:3" x14ac:dyDescent="0.25">
      <c r="A157" s="159">
        <v>46113</v>
      </c>
      <c r="B157" s="1" t="s">
        <v>84</v>
      </c>
      <c r="C157" s="87">
        <v>384350</v>
      </c>
    </row>
    <row r="158" spans="1:3" x14ac:dyDescent="0.25">
      <c r="A158" s="159">
        <v>46113</v>
      </c>
      <c r="B158" s="1" t="s">
        <v>84</v>
      </c>
      <c r="C158" s="87">
        <v>280000</v>
      </c>
    </row>
    <row r="159" spans="1:3" x14ac:dyDescent="0.25">
      <c r="A159" s="159">
        <v>46113</v>
      </c>
      <c r="B159" s="1" t="s">
        <v>84</v>
      </c>
      <c r="C159" s="87">
        <v>207500</v>
      </c>
    </row>
    <row r="160" spans="1:3" x14ac:dyDescent="0.25">
      <c r="A160" s="159">
        <v>46113</v>
      </c>
      <c r="B160" s="1" t="s">
        <v>84</v>
      </c>
      <c r="C160" s="87">
        <v>780000</v>
      </c>
    </row>
    <row r="161" spans="1:3" x14ac:dyDescent="0.25">
      <c r="A161" s="159">
        <v>46113</v>
      </c>
      <c r="B161" s="1" t="s">
        <v>84</v>
      </c>
      <c r="C161" s="87">
        <v>355000</v>
      </c>
    </row>
    <row r="162" spans="1:3" x14ac:dyDescent="0.25">
      <c r="A162" s="159">
        <v>46113</v>
      </c>
      <c r="B162" s="1" t="s">
        <v>84</v>
      </c>
      <c r="C162" s="87">
        <v>295000</v>
      </c>
    </row>
    <row r="163" spans="1:3" x14ac:dyDescent="0.25">
      <c r="A163" s="159">
        <v>46113</v>
      </c>
      <c r="B163" s="1" t="s">
        <v>84</v>
      </c>
      <c r="C163" s="87">
        <v>90000</v>
      </c>
    </row>
    <row r="164" spans="1:3" x14ac:dyDescent="0.25">
      <c r="A164" s="159">
        <v>46113</v>
      </c>
      <c r="B164" s="1" t="s">
        <v>84</v>
      </c>
      <c r="C164" s="87">
        <v>120000</v>
      </c>
    </row>
    <row r="165" spans="1:3" x14ac:dyDescent="0.25">
      <c r="A165" s="159">
        <v>46113</v>
      </c>
      <c r="B165" s="1" t="s">
        <v>84</v>
      </c>
      <c r="C165" s="87">
        <v>750000</v>
      </c>
    </row>
    <row r="166" spans="1:3" x14ac:dyDescent="0.25">
      <c r="A166" s="159">
        <v>46122</v>
      </c>
      <c r="B166" s="1" t="s">
        <v>84</v>
      </c>
      <c r="C166" s="87">
        <v>345000</v>
      </c>
    </row>
    <row r="167" spans="1:3" x14ac:dyDescent="0.25">
      <c r="A167" s="159">
        <v>46122</v>
      </c>
      <c r="B167" s="1" t="s">
        <v>84</v>
      </c>
      <c r="C167" s="87">
        <v>200000</v>
      </c>
    </row>
    <row r="168" spans="1:3" x14ac:dyDescent="0.25">
      <c r="A168" s="159">
        <v>46122</v>
      </c>
      <c r="B168" s="1" t="s">
        <v>84</v>
      </c>
      <c r="C168" s="87">
        <v>295000</v>
      </c>
    </row>
    <row r="169" spans="1:3" x14ac:dyDescent="0.25">
      <c r="A169" s="159">
        <v>46122</v>
      </c>
      <c r="B169" s="1" t="s">
        <v>84</v>
      </c>
      <c r="C169" s="87">
        <v>280000</v>
      </c>
    </row>
    <row r="170" spans="1:3" x14ac:dyDescent="0.25">
      <c r="A170" s="159">
        <v>46122</v>
      </c>
      <c r="B170" s="1" t="s">
        <v>84</v>
      </c>
      <c r="C170" s="87">
        <v>90000</v>
      </c>
    </row>
    <row r="171" spans="1:3" x14ac:dyDescent="0.25">
      <c r="A171" s="159">
        <v>46122</v>
      </c>
      <c r="B171" s="1" t="s">
        <v>84</v>
      </c>
      <c r="C171" s="87">
        <v>200000</v>
      </c>
    </row>
    <row r="172" spans="1:3" x14ac:dyDescent="0.25">
      <c r="A172" s="159">
        <v>46122</v>
      </c>
      <c r="B172" s="1" t="s">
        <v>84</v>
      </c>
      <c r="C172" s="87">
        <v>330000</v>
      </c>
    </row>
    <row r="173" spans="1:3" x14ac:dyDescent="0.25">
      <c r="A173" s="159">
        <v>46129</v>
      </c>
      <c r="B173" s="1" t="s">
        <v>84</v>
      </c>
      <c r="C173" s="87">
        <v>399334</v>
      </c>
    </row>
    <row r="174" spans="1:3" x14ac:dyDescent="0.25">
      <c r="A174" s="159">
        <v>46129</v>
      </c>
      <c r="B174" s="1" t="s">
        <v>84</v>
      </c>
      <c r="C174" s="87">
        <v>280000</v>
      </c>
    </row>
    <row r="175" spans="1:3" x14ac:dyDescent="0.25">
      <c r="A175" s="159">
        <v>46129</v>
      </c>
      <c r="B175" s="1" t="s">
        <v>84</v>
      </c>
      <c r="C175" s="87">
        <v>259912</v>
      </c>
    </row>
    <row r="176" spans="1:3" x14ac:dyDescent="0.25">
      <c r="A176" s="159">
        <v>46129</v>
      </c>
      <c r="B176" s="1" t="s">
        <v>84</v>
      </c>
      <c r="C176" s="87">
        <v>715000</v>
      </c>
    </row>
    <row r="177" spans="1:3" x14ac:dyDescent="0.25">
      <c r="A177" s="159">
        <v>46129</v>
      </c>
      <c r="B177" s="1" t="s">
        <v>84</v>
      </c>
      <c r="C177" s="87">
        <v>389219</v>
      </c>
    </row>
    <row r="178" spans="1:3" x14ac:dyDescent="0.25">
      <c r="A178" s="159">
        <v>46129</v>
      </c>
      <c r="B178" s="1" t="s">
        <v>84</v>
      </c>
      <c r="C178" s="87">
        <v>295000</v>
      </c>
    </row>
    <row r="179" spans="1:3" x14ac:dyDescent="0.25">
      <c r="A179" s="159">
        <v>46129</v>
      </c>
      <c r="B179" s="1" t="s">
        <v>84</v>
      </c>
      <c r="C179" s="87">
        <v>180000</v>
      </c>
    </row>
    <row r="180" spans="1:3" x14ac:dyDescent="0.25">
      <c r="A180" s="159">
        <v>46129</v>
      </c>
      <c r="B180" s="1" t="s">
        <v>84</v>
      </c>
      <c r="C180" s="87">
        <v>200000</v>
      </c>
    </row>
    <row r="181" spans="1:3" x14ac:dyDescent="0.25">
      <c r="A181" s="159">
        <v>46129</v>
      </c>
      <c r="B181" s="1" t="s">
        <v>84</v>
      </c>
      <c r="C181" s="87">
        <v>750000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d07e69a6-4c47-4689-8a4b-b6455870e7f8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fb66916-e76c-4d03-ae05-5e8b00f44c30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2026-04-20T22:41:51Z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