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46" documentId="13_ncr:1_{F39443B0-11EE-4A85-84B8-BCF3678BA4E9}" xr6:coauthVersionLast="47" xr6:coauthVersionMax="47" xr10:uidLastSave="{25B7FA1E-0268-402B-B668-F96814696E0E}"/>
  <bookViews>
    <workbookView xWindow="-120" yWindow="-120" windowWidth="29040" windowHeight="15720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9" i="2" l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<sst xmlns="http://schemas.openxmlformats.org/spreadsheetml/2006/main" count="1639" uniqueCount="300">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</sst>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2" dataDxfId="30" headerRowBorderDxfId="31" tableBorderDxfId="29">
  <autoFilter ref="K2:N409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9" totalsRowShown="0" headerRowDxfId="24" dataDxfId="22" headerRowBorderDxfId="23" tableBorderDxfId="21">
  <autoFilter ref="P2:S249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abSelected="1" topLeftCell="C1" zoomScaleNormal="100" workbookViewId="0">
      <pane ySplit="3" topLeftCell="A12" activePane="bottomLeft" state="frozen"/>
      <selection pane="bottomLeft" activeCell="AQ39" sqref="AQ39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13857944.539999999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13210124.539999999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 t="s">
        <v>299</v>
      </c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>OK</v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2">
        <f ca="1"/>
        <v>446304</v>
      </c>
      <c r="D23" s="133" t="str">
        <f ca="1"/>
        <v/>
      </c>
      <c r="E23" s="134" t="str">
        <f ca="1"/>
        <v/>
      </c>
      <c r="F23" s="140">
        <f t="shared" ca="1" si="19"/>
        <v>12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410336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2">
        <f ca="1"/>
        <v>89083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- BUSINESS</v>
      </c>
      <c r="B26" s="42">
        <f ca="1"/>
        <v>18</v>
      </c>
      <c r="C26" s="102">
        <f ca="1"/>
        <v>848160</v>
      </c>
      <c r="D26" s="133" t="str">
        <f ca="1"/>
        <v/>
      </c>
      <c r="E26" s="134" t="str">
        <f ca="1"/>
        <v/>
      </c>
      <c r="F26" s="140">
        <f t="shared" ca="1" si="19"/>
        <v>14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18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12886214.540000001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>OK</v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Cuota Facilidades IVA</v>
      </c>
      <c r="HH247" s="1">
        <f ca="1"/>
        <v>16</v>
      </c>
      <c r="HI247" s="4">
        <f ca="1"/>
        <v>446304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410336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Personal Flow</v>
      </c>
      <c r="HH249" s="1">
        <f ca="1"/>
        <v>16</v>
      </c>
      <c r="HI249" s="4">
        <f ca="1"/>
        <v>89083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46160</v>
      </c>
      <c r="HG250" s="1" t="str">
        <f ca="1"/>
        <v>Tarjeta Galicia - BUSINESS</v>
      </c>
      <c r="HH250" s="1">
        <f ca="1"/>
        <v>18</v>
      </c>
      <c r="HI250" s="4">
        <f ca="1"/>
        <v>848160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opLeftCell="J1" zoomScaleNormal="100" workbookViewId="0">
      <pane ySplit="2" topLeftCell="A389" activePane="bottomLeft" state="frozen"/>
      <selection pane="bottomLeft" activeCell="N410" sqref="N410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6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0.24409045378665845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0.24409045378665845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7.1798701538996743E-2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9541558.6400000006</v>
      </c>
      <c r="AC5" s="98">
        <f t="shared" si="2"/>
        <v>0.6841108446743448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13947386.91</v>
      </c>
      <c r="AD7" s="76">
        <f t="shared" si="3"/>
        <v>46113</v>
      </c>
      <c r="AG7" s="79" t="str">
        <v>mayo</v>
      </c>
      <c r="AH7" s="81">
        <v>13947386.91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REGAPLAS</v>
      </c>
      <c r="W8" s="119">
        <v>396300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46169</v>
      </c>
      <c r="V16" s="1" t="str">
        <v>Endosado ALU-MAQ</v>
      </c>
      <c r="W16" s="91">
        <v>919720.09</v>
      </c>
      <c r="X16" s="92" t="str">
        <v>Mercaderia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f>330000+66300</f>
        <v>396300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disablePrompts="1"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2026-05-04T21:46:15Z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