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abricamaxifer-my.sharepoint.com/personal/info_fabricamaxifer_com/Documents/Escritorio/"/>
    </mc:Choice>
  </mc:AlternateContent>
  <xr:revisionPtr revIDLastSave="5" documentId="13_ncr:1_{4556DC27-1D99-4AC2-8D21-44110255A480}" xr6:coauthVersionLast="47" xr6:coauthVersionMax="47" xr10:uidLastSave="{C606535A-34A2-4B25-A82A-B83DB32716FB}"/>
  <bookViews>
    <workbookView xWindow="-120" yWindow="-120" windowWidth="29040" windowHeight="15720" xr2:uid="{3EC1F247-D6BB-43C4-B916-DF0897453826}"/>
  </bookViews>
  <sheets>
    <sheet name="Movimientos" sheetId="2" r:id="rId1"/>
    <sheet name="Hoja1" sheetId="3" r:id="rId2"/>
    <sheet name="Hoja2" sheetId="4" r:id="rId3"/>
  </sheets>
  <definedNames>
    <definedName name="_nSubcategoria_tMov">tMov[Subcategoria]</definedName>
    <definedName name="_xlpm._BalanceMedio" hidden="1" xlm="1">#NAME?</definedName>
    <definedName name="_xlpm._BalanceSinTotal" hidden="1" xlm="1">#NAME?</definedName>
    <definedName name="_xlpm._CalcularPromedio" hidden="1" xlm="1">#NAME?</definedName>
    <definedName name="_xlpm._Cat" hidden="1" xlm="1">#NAME?</definedName>
    <definedName name="_xlpm._Cat_Tipo_tCat" hidden="1" xlm="1">#NAME?</definedName>
    <definedName name="_xlpm._CatActual" hidden="1" xlm="1">#NAME?</definedName>
    <definedName name="_xlpm._CatActuales" hidden="1" xlm="1">#NAME?</definedName>
    <definedName name="_xlpm._Categoria" hidden="1" xlm="1">#NAME?</definedName>
    <definedName name="_xlpm._Categorias" hidden="1" xlm="1">#NAME?</definedName>
    <definedName name="_xlpm._CatGasto" hidden="1" xlm="1">#NAME?</definedName>
    <definedName name="_xlpm._CatGastos" hidden="1" xlm="1">#NAME?</definedName>
    <definedName name="_xlpm._FechaFin" hidden="1" xlm="1">#NAME?</definedName>
    <definedName name="_xlpm._FechaInicio" hidden="1" xlm="1">#NAME?</definedName>
    <definedName name="_xlpm._FiltroGastosMes" hidden="1" xlm="1">#NAME?</definedName>
    <definedName name="_xlpm._FiltroIngresosMes" hidden="1" xlm="1">#NAME?</definedName>
    <definedName name="_xlpm._FiltroPorMedio" hidden="1" xlm="1">#NAME?</definedName>
    <definedName name="_xlpm._Gastos" hidden="1" xlm="1">#NAME?</definedName>
    <definedName name="_xlpm._GranTotal" hidden="1" xlm="1">#NAME?</definedName>
    <definedName name="_xlpm._Ingresos" hidden="1" xlm="1">#NAME?</definedName>
    <definedName name="_xlpm._ItemSubCat" hidden="1" xlm="1">#NAME?</definedName>
    <definedName name="_xlpm._Medio" hidden="1" xlm="1">#NAME?</definedName>
    <definedName name="_xlpm._Medios" hidden="1" xlm="1">#NAME?</definedName>
    <definedName name="_xlpm._PeriodosMensuales" hidden="1" xlm="1">#NAME?</definedName>
    <definedName name="_xlpm._Prom" hidden="1" xlm="1">#NAME?</definedName>
    <definedName name="_xlpm._Promedios" hidden="1" xlm="1">#NAME?</definedName>
    <definedName name="_xlpm._SubCat_Cat_tSubCat" hidden="1" xlm="1">#NAME?</definedName>
    <definedName name="_xlpm._Subcategoria" hidden="1" xlm="1">#NAME?</definedName>
    <definedName name="_xlpm._SubCatIngresos" hidden="1" xlm="1">#NAME?</definedName>
    <definedName name="_xlpm._SubTotalCatGastos" hidden="1" xlm="1">#NAME?</definedName>
    <definedName name="_xlpm._SubTotales" hidden="1" xlm="1">#NAME?</definedName>
    <definedName name="_xlpm._SubTotalesSubCategorias" hidden="1" xlm="1">#NAME?</definedName>
    <definedName name="_xlpm._tAmpMov" hidden="1" xlm="1">#NAME?</definedName>
    <definedName name="_xlpm._Tipo" hidden="1" xlm="1">#NAME?</definedName>
    <definedName name="_xlpm._tMovFiltrada" hidden="1" xlm="1">#NAME?</definedName>
    <definedName name="_xlpm._tMovFiltradaPorCatActual" hidden="1" xlm="1">#NAME?</definedName>
    <definedName name="_xlpm._TrasladoDesdeMedio" hidden="1" xlm="1">#NAME?</definedName>
    <definedName name="_xlpm._TrasladoHaciaMedio" hidden="1" xlm="1">#NAME?</definedName>
    <definedName name="_xlpm._Vactual" hidden="1" xlm="1">#NAME?</definedName>
    <definedName name="_xlpm._Valor" hidden="1" xlm="1">#NAME?</definedName>
    <definedName name="_xlpm._ValoresActuales" hidden="1" xlm="1">#NAME?</definedName>
    <definedName name="_xlpm._ValoresAnteriores" hidden="1" xlm="1">#NAME?</definedName>
    <definedName name="_xlpm._ValorTotal" hidden="1" xlm="1">#NAME?</definedName>
    <definedName name="_xlpm._vAnterior" hidden="1" xlm="1">#NAME?</definedName>
    <definedName name="alex">Movimientos!$T$408</definedName>
    <definedName name="david">Movimientos!$T$424</definedName>
    <definedName name="Gabriel">Movimientos!$AE$416</definedName>
    <definedName name="ivan">Movimientos!$T$401</definedName>
    <definedName name="magui">Movimientos!$AD$4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68" i="2" l="1"/>
  <c r="J579" i="2" l="1"/>
  <c r="F570" i="2"/>
  <c r="F573" i="2"/>
  <c r="F571" i="2" l="1"/>
  <c r="F565" i="2"/>
  <c r="H572" i="2"/>
  <c r="F563" i="2" l="1"/>
  <c r="F558" i="2"/>
  <c r="F564" i="2"/>
  <c r="F560" i="2"/>
  <c r="F562" i="2" l="1"/>
  <c r="F549" i="2"/>
  <c r="F553" i="2"/>
  <c r="R412" i="2"/>
  <c r="P404" i="2"/>
  <c r="F556" i="2"/>
  <c r="F557" i="2"/>
  <c r="F551" i="2"/>
  <c r="F552" i="2" l="1"/>
  <c r="F545" i="2" l="1"/>
  <c r="F544" i="2"/>
  <c r="F535" i="2" l="1"/>
  <c r="F536" i="2"/>
  <c r="F541" i="2" l="1"/>
  <c r="F533" i="2"/>
  <c r="F537" i="2"/>
  <c r="F538" i="2"/>
  <c r="H540" i="2"/>
  <c r="F540" i="2"/>
  <c r="F532" i="2" l="1"/>
  <c r="F526" i="2"/>
  <c r="F528" i="2"/>
  <c r="F531" i="2"/>
  <c r="F530" i="2" l="1"/>
  <c r="H531" i="2"/>
  <c r="F521" i="2" l="1"/>
  <c r="F520" i="2" l="1"/>
  <c r="F517" i="2" l="1"/>
  <c r="F519" i="2" l="1"/>
  <c r="F524" i="2"/>
  <c r="H524" i="2" l="1"/>
  <c r="H635" i="2" l="1"/>
  <c r="H619" i="2"/>
  <c r="H603" i="2"/>
  <c r="H587" i="2"/>
  <c r="H571" i="2"/>
  <c r="H530" i="2"/>
  <c r="H523" i="2"/>
  <c r="F523" i="2"/>
  <c r="H536" i="2"/>
  <c r="H552" i="2" s="1"/>
  <c r="H584" i="2" s="1"/>
  <c r="H600" i="2" s="1"/>
  <c r="H616" i="2" s="1"/>
  <c r="H632" i="2" s="1"/>
  <c r="F516" i="2" l="1"/>
  <c r="F510" i="2"/>
  <c r="H525" i="2"/>
  <c r="F509" i="2"/>
  <c r="F511" i="2"/>
  <c r="F513" i="2" l="1"/>
  <c r="H636" i="2" l="1"/>
  <c r="H627" i="2"/>
  <c r="H620" i="2"/>
  <c r="H611" i="2"/>
  <c r="H604" i="2"/>
  <c r="H595" i="2"/>
  <c r="H588" i="2"/>
  <c r="H579" i="2"/>
  <c r="H563" i="2"/>
  <c r="H556" i="2"/>
  <c r="H547" i="2"/>
  <c r="H515" i="2"/>
  <c r="F503" i="2"/>
  <c r="F502" i="2"/>
  <c r="F505" i="2"/>
  <c r="F500" i="2"/>
  <c r="F504" i="2"/>
  <c r="M406" i="2"/>
  <c r="F508" i="2"/>
  <c r="F507" i="2"/>
  <c r="H507" i="2"/>
  <c r="F506" i="2" l="1"/>
  <c r="F492" i="2"/>
  <c r="H428" i="2"/>
  <c r="H443" i="2"/>
  <c r="H459" i="2"/>
  <c r="F498" i="2"/>
  <c r="F499" i="2" l="1"/>
  <c r="F493" i="2" l="1"/>
  <c r="F495" i="2"/>
  <c r="F497" i="2" l="1"/>
  <c r="H493" i="2" l="1"/>
  <c r="H500" i="2" s="1"/>
  <c r="H509" i="2" s="1"/>
  <c r="H517" i="2" s="1"/>
  <c r="H526" i="2" s="1"/>
  <c r="H533" i="2" s="1"/>
  <c r="H542" i="2" s="1"/>
  <c r="H549" i="2" s="1"/>
  <c r="H558" i="2" s="1"/>
  <c r="H565" i="2" s="1"/>
  <c r="H574" i="2" s="1"/>
  <c r="H581" i="2" s="1"/>
  <c r="H590" i="2" s="1"/>
  <c r="H597" i="2" s="1"/>
  <c r="H606" i="2" s="1"/>
  <c r="H613" i="2" s="1"/>
  <c r="H622" i="2" s="1"/>
  <c r="H629" i="2" s="1"/>
  <c r="H497" i="2"/>
  <c r="F491" i="2"/>
  <c r="F489" i="2"/>
  <c r="O481" i="2"/>
  <c r="O485" i="2" s="1"/>
  <c r="M489" i="2"/>
  <c r="H491" i="2"/>
  <c r="H11" i="3"/>
  <c r="F478" i="2"/>
  <c r="F481" i="2"/>
  <c r="F483" i="2"/>
  <c r="H481" i="2"/>
  <c r="F472" i="2"/>
  <c r="F477" i="2"/>
  <c r="F482" i="2" l="1"/>
  <c r="H482" i="2" l="1"/>
  <c r="F469" i="2"/>
  <c r="N412" i="2" l="1"/>
  <c r="O412" i="2"/>
  <c r="H503" i="2" l="1"/>
  <c r="F475" i="2"/>
  <c r="F474" i="2"/>
  <c r="F471" i="2"/>
  <c r="F470" i="2"/>
  <c r="F460" i="2"/>
  <c r="F463" i="2"/>
  <c r="N420" i="2"/>
  <c r="O420" i="2"/>
  <c r="P420" i="2"/>
  <c r="Q420" i="2"/>
  <c r="R420" i="2"/>
  <c r="O404" i="2"/>
  <c r="Q404" i="2"/>
  <c r="R404" i="2"/>
  <c r="O397" i="2"/>
  <c r="P397" i="2"/>
  <c r="Q397" i="2"/>
  <c r="R397" i="2"/>
  <c r="F466" i="2"/>
  <c r="F462" i="2"/>
  <c r="M399" i="2"/>
  <c r="F465" i="2"/>
  <c r="H463" i="2"/>
  <c r="F464" i="2"/>
  <c r="H465" i="2" l="1"/>
  <c r="H464" i="2"/>
  <c r="E42" i="3" l="1"/>
  <c r="F455" i="2"/>
  <c r="F451" i="2"/>
  <c r="F458" i="2"/>
  <c r="F456" i="2"/>
  <c r="E40" i="3"/>
  <c r="K23" i="3" l="1"/>
  <c r="Q23" i="3"/>
  <c r="Q20" i="3"/>
  <c r="Q19" i="3"/>
  <c r="P22" i="3"/>
  <c r="P21" i="3"/>
  <c r="G25" i="3"/>
  <c r="H25" i="3" s="1"/>
  <c r="K19" i="3"/>
  <c r="L19" i="3" s="1"/>
  <c r="K20" i="3"/>
  <c r="L20" i="3" s="1"/>
  <c r="K21" i="3"/>
  <c r="O21" i="3" s="1"/>
  <c r="K22" i="3"/>
  <c r="F454" i="2"/>
  <c r="F457" i="2"/>
  <c r="F447" i="2"/>
  <c r="F449" i="2"/>
  <c r="F450" i="2"/>
  <c r="F444" i="2"/>
  <c r="F446" i="2"/>
  <c r="M21" i="3" l="1"/>
  <c r="O23" i="3"/>
  <c r="L23" i="3"/>
  <c r="M422" i="2" s="1"/>
  <c r="O19" i="3"/>
  <c r="O20" i="3"/>
  <c r="O22" i="3"/>
  <c r="F448" i="2"/>
  <c r="H450" i="2"/>
  <c r="O16" i="3" l="1"/>
  <c r="H458" i="2"/>
  <c r="H449" i="2"/>
  <c r="F439" i="2"/>
  <c r="H447" i="2"/>
  <c r="F436" i="2"/>
  <c r="F442" i="2"/>
  <c r="F437" i="2"/>
  <c r="F440" i="2"/>
  <c r="F438" i="2"/>
  <c r="H442" i="2" l="1"/>
  <c r="F441" i="2"/>
  <c r="F434" i="2" l="1"/>
  <c r="F429" i="2" l="1"/>
  <c r="F421" i="2" l="1"/>
  <c r="F424" i="2"/>
  <c r="F420" i="2"/>
  <c r="F423" i="2"/>
  <c r="H432" i="2" l="1"/>
  <c r="H421" i="2" l="1"/>
  <c r="F417" i="2" l="1"/>
  <c r="F419" i="2"/>
  <c r="F415" i="2" l="1"/>
  <c r="F418" i="2" l="1"/>
  <c r="H415" i="2" l="1"/>
  <c r="I9" i="3" l="1"/>
  <c r="H439" i="2"/>
  <c r="H419" i="2"/>
  <c r="H424" i="2"/>
  <c r="H409" i="2"/>
  <c r="B24" i="3"/>
  <c r="B25" i="3" s="1"/>
  <c r="B26" i="3" s="1"/>
  <c r="F409" i="2"/>
  <c r="F407" i="2"/>
  <c r="F408" i="2"/>
  <c r="I578" i="2" a="1"/>
  <c r="I598" i="2" a="1"/>
  <c r="I587" i="2" a="1"/>
  <c r="I609" i="2" a="1"/>
  <c r="I582" i="2" a="1"/>
  <c r="I614" i="2" a="1"/>
  <c r="I637" i="2" a="1"/>
  <c r="I626" i="2" a="1"/>
  <c r="I605" i="2" a="1"/>
  <c r="I577" i="2" a="1"/>
  <c r="I593" i="2" a="1"/>
  <c r="I635" i="2" a="1"/>
  <c r="I619" i="2" a="1"/>
  <c r="I594" i="2" a="1"/>
  <c r="I625" i="2" a="1"/>
  <c r="I610" i="2" a="1"/>
  <c r="I603" i="2" a="1"/>
  <c r="I621" i="2" a="1"/>
  <c r="I630" i="2" a="1"/>
  <c r="I589" i="2" a="1"/>
  <c r="I630" i="2" l="1"/>
  <c r="I635" i="2"/>
  <c r="I625" i="2"/>
  <c r="I626" i="2"/>
  <c r="I637" i="2"/>
  <c r="I614" i="2"/>
  <c r="I619" i="2"/>
  <c r="I610" i="2"/>
  <c r="I621" i="2"/>
  <c r="I609" i="2"/>
  <c r="I598" i="2"/>
  <c r="I603" i="2"/>
  <c r="I593" i="2"/>
  <c r="I594" i="2"/>
  <c r="I605" i="2"/>
  <c r="I582" i="2"/>
  <c r="I587" i="2"/>
  <c r="I577" i="2"/>
  <c r="J577" i="2" s="1"/>
  <c r="I578" i="2"/>
  <c r="J578" i="2" s="1"/>
  <c r="I589" i="2"/>
  <c r="F411" i="2"/>
  <c r="H408" i="2" l="1"/>
  <c r="F399" i="2" l="1"/>
  <c r="N397" i="2"/>
  <c r="F397" i="2"/>
  <c r="F398" i="2"/>
  <c r="H434" i="2" l="1"/>
  <c r="F402" i="2" l="1"/>
  <c r="F390" i="2"/>
  <c r="F392" i="2"/>
  <c r="F393" i="2"/>
  <c r="F387" i="2"/>
  <c r="F396" i="2" l="1"/>
  <c r="F395" i="2" l="1"/>
  <c r="F391" i="2" l="1"/>
  <c r="H391" i="2"/>
  <c r="H397" i="2"/>
  <c r="F382" i="2"/>
  <c r="F384" i="2" l="1"/>
  <c r="F383" i="2" l="1"/>
  <c r="H385" i="2"/>
  <c r="F386" i="2"/>
  <c r="G27" i="3"/>
  <c r="G17" i="3" s="1"/>
  <c r="H32" i="3"/>
  <c r="H31" i="3"/>
  <c r="H30" i="3"/>
  <c r="H19" i="3"/>
  <c r="P19" i="3" s="1"/>
  <c r="H20" i="3"/>
  <c r="P20" i="3" s="1"/>
  <c r="H24" i="3"/>
  <c r="E16" i="3" s="1"/>
  <c r="H23" i="3"/>
  <c r="P23" i="3" s="1"/>
  <c r="I22" i="3"/>
  <c r="I21" i="3"/>
  <c r="Q21" i="3" s="1"/>
  <c r="I8" i="3"/>
  <c r="I7" i="3"/>
  <c r="I6" i="3"/>
  <c r="I5" i="3"/>
  <c r="I4" i="3"/>
  <c r="I3" i="3"/>
  <c r="E17" i="3" l="1"/>
  <c r="H33" i="3"/>
  <c r="P16" i="3"/>
  <c r="E15" i="3"/>
  <c r="E19" i="3"/>
  <c r="Q22" i="3"/>
  <c r="Q16" i="3" s="1"/>
  <c r="E13" i="3"/>
  <c r="P14" i="3" l="1"/>
  <c r="F375" i="2"/>
  <c r="F374" i="2"/>
  <c r="F377" i="2"/>
  <c r="F373" i="2" l="1"/>
  <c r="F372" i="2"/>
  <c r="F379" i="2"/>
  <c r="M372" i="2"/>
  <c r="A13" i="3" l="1"/>
  <c r="A16" i="3" s="1"/>
  <c r="F367" i="2"/>
  <c r="H393" i="2"/>
  <c r="H378" i="2"/>
  <c r="H377" i="2"/>
  <c r="H403" i="2"/>
  <c r="H399" i="2"/>
  <c r="H387" i="2"/>
  <c r="H383" i="2"/>
  <c r="F365" i="2"/>
  <c r="F366" i="2"/>
  <c r="F371" i="2"/>
  <c r="Z5" i="2"/>
  <c r="Z7" i="2" s="1"/>
  <c r="F370" i="2"/>
  <c r="H371" i="2" l="1"/>
  <c r="M414" i="2"/>
  <c r="H369" i="2"/>
  <c r="H367" i="2"/>
  <c r="F360" i="2"/>
  <c r="F361" i="2" l="1"/>
  <c r="K393" i="2"/>
  <c r="K383" i="2"/>
  <c r="K377" i="2"/>
  <c r="K372" i="2"/>
  <c r="F364" i="2" l="1"/>
  <c r="F363" i="2"/>
  <c r="R5" i="2"/>
  <c r="S5" i="2"/>
  <c r="S7" i="2" s="1"/>
  <c r="T5" i="2"/>
  <c r="T7" i="2" s="1"/>
  <c r="U5" i="2"/>
  <c r="U7" i="2" s="1"/>
  <c r="V5" i="2"/>
  <c r="V7" i="2" s="1"/>
  <c r="W5" i="2"/>
  <c r="W7" i="2" s="1"/>
  <c r="X5" i="2"/>
  <c r="X7" i="2" s="1"/>
  <c r="Y5" i="2"/>
  <c r="Y7" i="2" s="1"/>
  <c r="AA5" i="2"/>
  <c r="AA7" i="2" s="1"/>
  <c r="H362" i="2"/>
  <c r="H361" i="2"/>
  <c r="F354" i="2" l="1"/>
  <c r="F351" i="2"/>
  <c r="H353" i="2"/>
  <c r="F346" i="2"/>
  <c r="F345" i="2" l="1"/>
  <c r="F341" i="2"/>
  <c r="F344" i="2"/>
  <c r="F348" i="2" l="1"/>
  <c r="H347" i="2"/>
  <c r="H341" i="2"/>
  <c r="H346" i="2"/>
  <c r="F336" i="2" l="1"/>
  <c r="F337" i="2"/>
  <c r="H339" i="2"/>
  <c r="F333" i="2"/>
  <c r="F328" i="2"/>
  <c r="F332" i="2"/>
  <c r="F331" i="2" l="1"/>
  <c r="F330" i="2"/>
  <c r="F334" i="2"/>
  <c r="F325" i="2"/>
  <c r="K367" i="2"/>
  <c r="K365" i="2"/>
  <c r="K341" i="2"/>
  <c r="K335" i="2"/>
  <c r="K337" i="2"/>
  <c r="K346" i="2" l="1"/>
  <c r="K351" i="2"/>
  <c r="K361" i="2" s="1"/>
  <c r="T396" i="2"/>
  <c r="T403" i="2"/>
  <c r="T411" i="2"/>
  <c r="T419" i="2"/>
  <c r="F327" i="2"/>
  <c r="F320" i="2" l="1"/>
  <c r="F321" i="2"/>
  <c r="F322" i="2"/>
  <c r="F319" i="2"/>
  <c r="X412" i="2" l="1"/>
  <c r="Y412" i="2"/>
  <c r="Z412" i="2"/>
  <c r="Z414" i="2" s="1"/>
  <c r="AA412" i="2"/>
  <c r="AA414" i="2" s="1"/>
  <c r="F315" i="2"/>
  <c r="F311" i="2"/>
  <c r="F313" i="2"/>
  <c r="F312" i="2" l="1"/>
  <c r="S422" i="2"/>
  <c r="Y414" i="2"/>
  <c r="F306" i="2"/>
  <c r="F307" i="2"/>
  <c r="F308" i="2"/>
  <c r="H327" i="2"/>
  <c r="R422" i="2"/>
  <c r="Q422" i="2"/>
  <c r="P422" i="2"/>
  <c r="O422" i="2"/>
  <c r="N422" i="2"/>
  <c r="M420" i="2"/>
  <c r="F301" i="2"/>
  <c r="F303" i="2"/>
  <c r="F299" i="2"/>
  <c r="X414" i="2"/>
  <c r="AB412" i="2"/>
  <c r="AB414" i="2" s="1"/>
  <c r="P412" i="2"/>
  <c r="Q412" i="2"/>
  <c r="F295" i="2"/>
  <c r="F292" i="2"/>
  <c r="F296" i="2"/>
  <c r="F297" i="2"/>
  <c r="N404" i="2"/>
  <c r="R424" i="2" l="1"/>
  <c r="P424" i="2"/>
  <c r="O424" i="2"/>
  <c r="Q424" i="2"/>
  <c r="S424" i="2"/>
  <c r="N424" i="2"/>
  <c r="T422" i="2"/>
  <c r="T426" i="2" s="1"/>
  <c r="F291" i="2"/>
  <c r="F289" i="2"/>
  <c r="F287" i="2"/>
  <c r="T424" i="2" l="1"/>
  <c r="W414" i="2"/>
  <c r="S414" i="2"/>
  <c r="R414" i="2"/>
  <c r="Q414" i="2"/>
  <c r="P414" i="2"/>
  <c r="O414" i="2"/>
  <c r="N414" i="2"/>
  <c r="S406" i="2"/>
  <c r="R406" i="2"/>
  <c r="Q406" i="2"/>
  <c r="P406" i="2"/>
  <c r="O406" i="2"/>
  <c r="N406" i="2"/>
  <c r="Q399" i="2"/>
  <c r="R399" i="2"/>
  <c r="S399" i="2"/>
  <c r="P399" i="2"/>
  <c r="O399" i="2"/>
  <c r="N399" i="2"/>
  <c r="I592" i="2" a="1"/>
  <c r="I634" i="2" a="1"/>
  <c r="I602" i="2" a="1"/>
  <c r="I624" i="2" a="1"/>
  <c r="I618" i="2" a="1"/>
  <c r="I367" i="2" a="1"/>
  <c r="I608" i="2" a="1"/>
  <c r="I586" i="2" a="1"/>
  <c r="I576" i="2" a="1"/>
  <c r="I618" i="2" l="1"/>
  <c r="I586" i="2"/>
  <c r="I602" i="2"/>
  <c r="I634" i="2"/>
  <c r="I624" i="2"/>
  <c r="I608" i="2"/>
  <c r="I592" i="2"/>
  <c r="I576" i="2"/>
  <c r="J576" i="2" s="1"/>
  <c r="I367" i="2"/>
  <c r="J367" i="2" s="1"/>
  <c r="T406" i="2"/>
  <c r="T399" i="2"/>
  <c r="T414" i="2"/>
  <c r="AC414" i="2"/>
  <c r="AC418" i="2" l="1"/>
  <c r="H307" i="2"/>
  <c r="H295" i="2"/>
  <c r="F284" i="2"/>
  <c r="F285" i="2"/>
  <c r="F280" i="2"/>
  <c r="F283" i="2"/>
  <c r="H283" i="2" l="1"/>
  <c r="F279" i="2"/>
  <c r="F275" i="2" l="1"/>
  <c r="F272" i="2" l="1"/>
  <c r="F273" i="2"/>
  <c r="F269" i="2"/>
  <c r="F268" i="2"/>
  <c r="F274" i="2" l="1"/>
  <c r="F271" i="2"/>
  <c r="H271" i="2" l="1"/>
  <c r="F265" i="2"/>
  <c r="F267" i="2"/>
  <c r="F266" i="2"/>
  <c r="F263" i="2"/>
  <c r="H259" i="2"/>
  <c r="B257" i="2"/>
  <c r="B258" i="2" s="1"/>
  <c r="B259" i="2" s="1"/>
  <c r="B260" i="2" s="1"/>
  <c r="B261" i="2" s="1"/>
  <c r="B262" i="2" s="1"/>
  <c r="B263" i="2" s="1"/>
  <c r="B264" i="2" s="1"/>
  <c r="B265" i="2" s="1"/>
  <c r="M397" i="2"/>
  <c r="M401" i="2"/>
  <c r="B266" i="2" l="1"/>
  <c r="B267" i="2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F189" i="2"/>
  <c r="F242" i="2"/>
  <c r="F241" i="2"/>
  <c r="F237" i="2"/>
  <c r="F240" i="2"/>
  <c r="B279" i="2" l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278" i="2"/>
  <c r="B304" i="2" l="1"/>
  <c r="B305" i="2" s="1"/>
  <c r="B306" i="2" s="1"/>
  <c r="B307" i="2" s="1"/>
  <c r="B308" i="2" s="1"/>
  <c r="B309" i="2" s="1"/>
  <c r="B310" i="2" s="1"/>
  <c r="S401" i="2"/>
  <c r="R401" i="2"/>
  <c r="Q401" i="2"/>
  <c r="P401" i="2"/>
  <c r="O401" i="2"/>
  <c r="N401" i="2"/>
  <c r="F217" i="2"/>
  <c r="F216" i="2"/>
  <c r="F215" i="2"/>
  <c r="F212" i="2"/>
  <c r="T401" i="2" l="1"/>
  <c r="B311" i="2"/>
  <c r="B312" i="2" s="1"/>
  <c r="B313" i="2" s="1"/>
  <c r="B314" i="2" s="1"/>
  <c r="B315" i="2" s="1"/>
  <c r="F207" i="2"/>
  <c r="I601" i="2" a="1"/>
  <c r="I633" i="2" a="1"/>
  <c r="I580" i="2" a="1"/>
  <c r="I617" i="2" a="1"/>
  <c r="I612" i="2" a="1"/>
  <c r="I585" i="2" a="1"/>
  <c r="I596" i="2" a="1"/>
  <c r="I628" i="2" a="1"/>
  <c r="I633" i="2" l="1"/>
  <c r="I628" i="2"/>
  <c r="I617" i="2"/>
  <c r="I612" i="2"/>
  <c r="I596" i="2"/>
  <c r="I601" i="2"/>
  <c r="I585" i="2"/>
  <c r="I580" i="2"/>
  <c r="J580" i="2" s="1"/>
  <c r="B316" i="2"/>
  <c r="B317" i="2" s="1"/>
  <c r="B318" i="2" s="1"/>
  <c r="B319" i="2" s="1"/>
  <c r="B320" i="2" s="1"/>
  <c r="B321" i="2" s="1"/>
  <c r="B322" i="2" s="1"/>
  <c r="AH9" i="2"/>
  <c r="AI9" i="2" s="1"/>
  <c r="AH10" i="2"/>
  <c r="AI10" i="2" s="1"/>
  <c r="AH11" i="2"/>
  <c r="AI11" i="2" s="1"/>
  <c r="AH12" i="2"/>
  <c r="AI12" i="2" s="1"/>
  <c r="AH13" i="2"/>
  <c r="AI13" i="2" s="1"/>
  <c r="B323" i="2" l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AH7" i="2"/>
  <c r="AB5" i="2" s="1"/>
  <c r="AB7" i="2" s="1"/>
  <c r="B340" i="2" l="1"/>
  <c r="B341" i="2" s="1"/>
  <c r="B342" i="2" s="1"/>
  <c r="B343" i="2" s="1"/>
  <c r="B344" i="2" s="1"/>
  <c r="B345" i="2" s="1"/>
  <c r="B346" i="2" s="1"/>
  <c r="B339" i="2"/>
  <c r="AI7" i="2"/>
  <c r="H209" i="2"/>
  <c r="F202" i="2"/>
  <c r="F204" i="2"/>
  <c r="F201" i="2"/>
  <c r="F205" i="2"/>
  <c r="B348" i="2" l="1"/>
  <c r="B349" i="2" s="1"/>
  <c r="B350" i="2" s="1"/>
  <c r="B351" i="2" s="1"/>
  <c r="B352" i="2" s="1"/>
  <c r="B347" i="2"/>
  <c r="F198" i="2"/>
  <c r="F199" i="2"/>
  <c r="F196" i="2"/>
  <c r="B355" i="2" l="1"/>
  <c r="B356" i="2" s="1"/>
  <c r="B357" i="2" s="1"/>
  <c r="B358" i="2" s="1"/>
  <c r="B359" i="2" s="1"/>
  <c r="B360" i="2" s="1"/>
  <c r="B361" i="2" s="1"/>
  <c r="B353" i="2"/>
  <c r="B354" i="2" s="1"/>
  <c r="M412" i="2"/>
  <c r="N403" i="2"/>
  <c r="N419" i="2" s="1"/>
  <c r="M404" i="2"/>
  <c r="B364" i="2" l="1"/>
  <c r="B365" i="2" s="1"/>
  <c r="B366" i="2" s="1"/>
  <c r="B367" i="2" s="1"/>
  <c r="B368" i="2" s="1"/>
  <c r="B362" i="2"/>
  <c r="B363" i="2" s="1"/>
  <c r="S416" i="2"/>
  <c r="AB416" i="2"/>
  <c r="O416" i="2"/>
  <c r="Z416" i="2"/>
  <c r="X416" i="2"/>
  <c r="AA416" i="2"/>
  <c r="Y416" i="2"/>
  <c r="W416" i="2"/>
  <c r="P408" i="2"/>
  <c r="Q408" i="2"/>
  <c r="N408" i="2"/>
  <c r="R408" i="2"/>
  <c r="S408" i="2"/>
  <c r="O408" i="2"/>
  <c r="N416" i="2"/>
  <c r="R416" i="2"/>
  <c r="Q416" i="2"/>
  <c r="P416" i="2"/>
  <c r="O411" i="2"/>
  <c r="P411" i="2" s="1"/>
  <c r="Q411" i="2" s="1"/>
  <c r="R411" i="2" s="1"/>
  <c r="S411" i="2" s="1"/>
  <c r="O403" i="2"/>
  <c r="P403" i="2" s="1"/>
  <c r="Q403" i="2" s="1"/>
  <c r="R403" i="2" s="1"/>
  <c r="S403" i="2" s="1"/>
  <c r="B371" i="2" l="1"/>
  <c r="B372" i="2" s="1"/>
  <c r="B373" i="2" s="1"/>
  <c r="B374" i="2" s="1"/>
  <c r="B375" i="2" s="1"/>
  <c r="B376" i="2" s="1"/>
  <c r="B377" i="2" s="1"/>
  <c r="B369" i="2"/>
  <c r="B370" i="2" s="1"/>
  <c r="T408" i="2"/>
  <c r="T416" i="2"/>
  <c r="W411" i="2"/>
  <c r="X411" i="2" s="1"/>
  <c r="Y411" i="2" s="1"/>
  <c r="Z411" i="2" s="1"/>
  <c r="AA411" i="2" s="1"/>
  <c r="AB411" i="2" s="1"/>
  <c r="AC416" i="2"/>
  <c r="O419" i="2"/>
  <c r="P419" i="2" s="1"/>
  <c r="Q419" i="2" s="1"/>
  <c r="R419" i="2" s="1"/>
  <c r="S419" i="2" s="1"/>
  <c r="F194" i="2"/>
  <c r="F190" i="2"/>
  <c r="F193" i="2"/>
  <c r="I613" i="2" a="1"/>
  <c r="I597" i="2" a="1"/>
  <c r="I606" i="2" a="1"/>
  <c r="I574" i="2" a="1"/>
  <c r="I590" i="2" a="1"/>
  <c r="I581" i="2" a="1"/>
  <c r="I622" i="2" a="1"/>
  <c r="I629" i="2" a="1"/>
  <c r="I622" i="2" l="1"/>
  <c r="I629" i="2"/>
  <c r="I613" i="2"/>
  <c r="I606" i="2"/>
  <c r="I590" i="2"/>
  <c r="I597" i="2"/>
  <c r="I574" i="2"/>
  <c r="J574" i="2" s="1"/>
  <c r="I581" i="2"/>
  <c r="B380" i="2"/>
  <c r="B381" i="2" s="1"/>
  <c r="B382" i="2" s="1"/>
  <c r="B383" i="2" s="1"/>
  <c r="B384" i="2" s="1"/>
  <c r="B378" i="2"/>
  <c r="B379" i="2" s="1"/>
  <c r="T388" i="2"/>
  <c r="AE416" i="2"/>
  <c r="AE1" i="2"/>
  <c r="I160" i="2"/>
  <c r="I161" i="2"/>
  <c r="I632" i="2" a="1"/>
  <c r="I616" i="2" a="1"/>
  <c r="I584" i="2" a="1"/>
  <c r="I271" i="2" a="1"/>
  <c r="I600" i="2" a="1"/>
  <c r="I632" i="2" l="1"/>
  <c r="I616" i="2"/>
  <c r="I600" i="2"/>
  <c r="I584" i="2"/>
  <c r="B387" i="2"/>
  <c r="B388" i="2" s="1"/>
  <c r="B389" i="2" s="1"/>
  <c r="B390" i="2" s="1"/>
  <c r="B391" i="2" s="1"/>
  <c r="B392" i="2" s="1"/>
  <c r="B393" i="2" s="1"/>
  <c r="B385" i="2"/>
  <c r="B386" i="2" s="1"/>
  <c r="I271" i="2"/>
  <c r="H235" i="2"/>
  <c r="F135" i="2"/>
  <c r="B394" i="2" l="1"/>
  <c r="B395" i="2" s="1"/>
  <c r="B396" i="2"/>
  <c r="B397" i="2" s="1"/>
  <c r="B398" i="2" s="1"/>
  <c r="B399" i="2" s="1"/>
  <c r="B400" i="2" s="1"/>
  <c r="J136" i="2"/>
  <c r="J135" i="2"/>
  <c r="J134" i="2"/>
  <c r="J133" i="2"/>
  <c r="J132" i="2"/>
  <c r="J131" i="2"/>
  <c r="J130" i="2"/>
  <c r="J129" i="2"/>
  <c r="J128" i="2"/>
  <c r="B403" i="2" l="1"/>
  <c r="B404" i="2" s="1"/>
  <c r="B405" i="2" s="1"/>
  <c r="B406" i="2" s="1"/>
  <c r="B407" i="2" s="1"/>
  <c r="B408" i="2" s="1"/>
  <c r="B409" i="2" s="1"/>
  <c r="B401" i="2"/>
  <c r="B402" i="2" s="1"/>
  <c r="F101" i="2"/>
  <c r="B94" i="2"/>
  <c r="B95" i="2" s="1"/>
  <c r="B96" i="2" s="1"/>
  <c r="B97" i="2" s="1"/>
  <c r="B98" i="2" s="1"/>
  <c r="I89" i="2"/>
  <c r="F92" i="2"/>
  <c r="F86" i="2"/>
  <c r="B410" i="2" l="1"/>
  <c r="B411" i="2" s="1"/>
  <c r="B412" i="2"/>
  <c r="B413" i="2" s="1"/>
  <c r="B414" i="2" s="1"/>
  <c r="B415" i="2" s="1"/>
  <c r="B416" i="2" s="1"/>
  <c r="B99" i="2"/>
  <c r="B100" i="2" s="1"/>
  <c r="B101" i="2" s="1"/>
  <c r="B102" i="2" s="1"/>
  <c r="B103" i="2" s="1"/>
  <c r="F82" i="2"/>
  <c r="B419" i="2" l="1"/>
  <c r="B420" i="2" s="1"/>
  <c r="B421" i="2" s="1"/>
  <c r="B422" i="2" s="1"/>
  <c r="B423" i="2" s="1"/>
  <c r="B424" i="2" s="1"/>
  <c r="B425" i="2" s="1"/>
  <c r="B417" i="2"/>
  <c r="B418" i="2" s="1"/>
  <c r="B105" i="2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04" i="2"/>
  <c r="F75" i="2"/>
  <c r="H75" i="2" s="1"/>
  <c r="F78" i="2"/>
  <c r="H78" i="2" s="1"/>
  <c r="B75" i="2"/>
  <c r="B76" i="2" s="1"/>
  <c r="B77" i="2" s="1"/>
  <c r="B78" i="2" s="1"/>
  <c r="B79" i="2" s="1"/>
  <c r="B80" i="2" s="1"/>
  <c r="B81" i="2" s="1"/>
  <c r="B82" i="2" s="1"/>
  <c r="B83" i="2" s="1"/>
  <c r="J70" i="2"/>
  <c r="J73" i="2"/>
  <c r="B428" i="2" l="1"/>
  <c r="B429" i="2" s="1"/>
  <c r="B430" i="2" s="1"/>
  <c r="B431" i="2" s="1"/>
  <c r="B432" i="2" s="1"/>
  <c r="B433" i="2" s="1"/>
  <c r="B434" i="2" s="1"/>
  <c r="B426" i="2"/>
  <c r="B427" i="2" s="1"/>
  <c r="B148" i="2"/>
  <c r="B149" i="2" s="1"/>
  <c r="B150" i="2" s="1"/>
  <c r="B147" i="2"/>
  <c r="B435" i="2" l="1"/>
  <c r="B436" i="2" s="1"/>
  <c r="B437" i="2" s="1"/>
  <c r="B438" i="2" s="1"/>
  <c r="B439" i="2" s="1"/>
  <c r="B440" i="2" s="1"/>
  <c r="B151" i="2"/>
  <c r="B152" i="2" s="1"/>
  <c r="B153" i="2" s="1"/>
  <c r="B154" i="2" s="1"/>
  <c r="B155" i="2" s="1"/>
  <c r="F38" i="2"/>
  <c r="F36" i="2"/>
  <c r="B443" i="2" l="1"/>
  <c r="B444" i="2" s="1"/>
  <c r="B445" i="2" s="1"/>
  <c r="B446" i="2" s="1"/>
  <c r="B447" i="2" s="1"/>
  <c r="B448" i="2" s="1"/>
  <c r="B441" i="2"/>
  <c r="B442" i="2" s="1"/>
  <c r="B156" i="2"/>
  <c r="B157" i="2" s="1"/>
  <c r="B158" i="2" s="1"/>
  <c r="B159" i="2" s="1"/>
  <c r="B160" i="2" s="1"/>
  <c r="B161" i="2" s="1"/>
  <c r="B162" i="2" s="1"/>
  <c r="B163" i="2" s="1"/>
  <c r="B164" i="2" s="1"/>
  <c r="F32" i="2"/>
  <c r="B450" i="2" l="1"/>
  <c r="B451" i="2" s="1"/>
  <c r="B452" i="2" s="1"/>
  <c r="B453" i="2" s="1"/>
  <c r="B454" i="2" s="1"/>
  <c r="B455" i="2" s="1"/>
  <c r="B456" i="2" s="1"/>
  <c r="B459" i="2" s="1"/>
  <c r="B460" i="2" s="1"/>
  <c r="B461" i="2" s="1"/>
  <c r="B462" i="2" s="1"/>
  <c r="B463" i="2" s="1"/>
  <c r="B464" i="2" s="1"/>
  <c r="B449" i="2"/>
  <c r="B165" i="2"/>
  <c r="B166" i="2" s="1"/>
  <c r="B167" i="2" s="1"/>
  <c r="B168" i="2" s="1"/>
  <c r="H25" i="2"/>
  <c r="B457" i="2" l="1"/>
  <c r="B458" i="2" s="1"/>
  <c r="B466" i="2"/>
  <c r="B467" i="2" s="1"/>
  <c r="B468" i="2" s="1"/>
  <c r="B469" i="2" s="1"/>
  <c r="B470" i="2" s="1"/>
  <c r="B471" i="2" s="1"/>
  <c r="B472" i="2" s="1"/>
  <c r="B465" i="2"/>
  <c r="B169" i="2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473" i="2" l="1"/>
  <c r="B474" i="2" s="1"/>
  <c r="B475" i="2"/>
  <c r="B476" i="2" s="1"/>
  <c r="B477" i="2" s="1"/>
  <c r="B478" i="2" s="1"/>
  <c r="B479" i="2" s="1"/>
  <c r="B480" i="2" s="1"/>
  <c r="B185" i="2"/>
  <c r="B186" i="2" s="1"/>
  <c r="B187" i="2" s="1"/>
  <c r="B188" i="2" s="1"/>
  <c r="B189" i="2" s="1"/>
  <c r="B483" i="2" l="1"/>
  <c r="B484" i="2" s="1"/>
  <c r="B485" i="2" s="1"/>
  <c r="B486" i="2" s="1"/>
  <c r="B487" i="2" s="1"/>
  <c r="B488" i="2" s="1"/>
  <c r="B489" i="2" s="1"/>
  <c r="B492" i="2" s="1"/>
  <c r="B493" i="2" s="1"/>
  <c r="B494" i="2" s="1"/>
  <c r="B495" i="2" s="1"/>
  <c r="B496" i="2" s="1"/>
  <c r="B497" i="2" s="1"/>
  <c r="B481" i="2"/>
  <c r="B482" i="2" s="1"/>
  <c r="B191" i="2"/>
  <c r="B192" i="2" s="1"/>
  <c r="B193" i="2" s="1"/>
  <c r="B194" i="2" s="1"/>
  <c r="B195" i="2" s="1"/>
  <c r="T2" i="2"/>
  <c r="S2" i="2"/>
  <c r="R7" i="2"/>
  <c r="B490" i="2" l="1"/>
  <c r="B491" i="2" s="1"/>
  <c r="B499" i="2"/>
  <c r="B500" i="2" s="1"/>
  <c r="B501" i="2" s="1"/>
  <c r="B502" i="2" s="1"/>
  <c r="B503" i="2" s="1"/>
  <c r="B504" i="2" s="1"/>
  <c r="B505" i="2" s="1"/>
  <c r="B506" i="2" s="1"/>
  <c r="B507" i="2" s="1"/>
  <c r="B498" i="2"/>
  <c r="B196" i="2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V2" i="2"/>
  <c r="X2" i="2" s="1"/>
  <c r="U2" i="2"/>
  <c r="W2" i="2" s="1"/>
  <c r="Y2" i="2" s="1"/>
  <c r="AE5" i="2"/>
  <c r="B508" i="2" l="1"/>
  <c r="B509" i="2" s="1"/>
  <c r="B510" i="2" s="1"/>
  <c r="B511" i="2" s="1"/>
  <c r="B512" i="2" s="1"/>
  <c r="B513" i="2" s="1"/>
  <c r="B224" i="2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Z2" i="2"/>
  <c r="AA2" i="2" s="1"/>
  <c r="AD4" i="2"/>
  <c r="I591" i="2" a="1"/>
  <c r="I575" i="2" a="1"/>
  <c r="I583" i="2" a="1"/>
  <c r="I615" i="2" a="1"/>
  <c r="I535" i="2" a="1"/>
  <c r="H406" i="2" a="1"/>
  <c r="I631" i="2" a="1"/>
  <c r="I623" i="2" a="1"/>
  <c r="I607" i="2" a="1"/>
  <c r="I599" i="2" a="1"/>
  <c r="B515" i="2" l="1"/>
  <c r="B514" i="2"/>
  <c r="B516" i="2"/>
  <c r="B517" i="2" s="1"/>
  <c r="B518" i="2" s="1"/>
  <c r="B519" i="2" s="1"/>
  <c r="B520" i="2" s="1"/>
  <c r="B521" i="2" s="1"/>
  <c r="B522" i="2" s="1"/>
  <c r="B523" i="2" s="1"/>
  <c r="B524" i="2" s="1"/>
  <c r="I631" i="2"/>
  <c r="I623" i="2"/>
  <c r="I607" i="2"/>
  <c r="I615" i="2"/>
  <c r="I599" i="2"/>
  <c r="I591" i="2"/>
  <c r="I575" i="2"/>
  <c r="J575" i="2" s="1"/>
  <c r="J573" i="2" s="1"/>
  <c r="I583" i="2"/>
  <c r="I535" i="2"/>
  <c r="J535" i="2" s="1"/>
  <c r="H406" i="2"/>
  <c r="H258" i="2"/>
  <c r="H300" i="2"/>
  <c r="H312" i="2"/>
  <c r="H276" i="2"/>
  <c r="H264" i="2"/>
  <c r="B236" i="2"/>
  <c r="B237" i="2" s="1"/>
  <c r="B238" i="2" s="1"/>
  <c r="B239" i="2" s="1"/>
  <c r="B240" i="2" s="1"/>
  <c r="B241" i="2" s="1"/>
  <c r="B242" i="2" s="1"/>
  <c r="B243" i="2" s="1"/>
  <c r="B235" i="2"/>
  <c r="H232" i="2"/>
  <c r="H239" i="2"/>
  <c r="H214" i="2"/>
  <c r="H203" i="2"/>
  <c r="H197" i="2"/>
  <c r="AF4" i="2"/>
  <c r="H5" i="2"/>
  <c r="B525" i="2" l="1"/>
  <c r="B526" i="2" s="1"/>
  <c r="B527" i="2" s="1"/>
  <c r="B528" i="2" s="1"/>
  <c r="B529" i="2" s="1"/>
  <c r="B530" i="2" s="1"/>
  <c r="B532" i="2" s="1"/>
  <c r="B543" i="2" s="1"/>
  <c r="B544" i="2" s="1"/>
  <c r="B545" i="2" s="1"/>
  <c r="B546" i="2" s="1"/>
  <c r="B548" i="2" s="1"/>
  <c r="B549" i="2" s="1"/>
  <c r="B550" i="2" s="1"/>
  <c r="B551" i="2" s="1"/>
  <c r="B552" i="2" s="1"/>
  <c r="B553" i="2" s="1"/>
  <c r="B554" i="2" s="1"/>
  <c r="O396" i="2"/>
  <c r="P396" i="2" s="1"/>
  <c r="Q396" i="2" s="1"/>
  <c r="R396" i="2" s="1"/>
  <c r="S396" i="2" s="1"/>
  <c r="B531" i="2" l="1"/>
  <c r="B547" i="2"/>
  <c r="B557" i="2"/>
  <c r="B558" i="2" s="1"/>
  <c r="B559" i="2" s="1"/>
  <c r="B555" i="2"/>
  <c r="B556" i="2" s="1"/>
  <c r="AC411" i="2"/>
  <c r="H26" i="3"/>
  <c r="H17" i="3" s="1"/>
  <c r="B566" i="2" l="1"/>
  <c r="B567" i="2" s="1"/>
  <c r="B568" i="2" s="1"/>
  <c r="B569" i="2" s="1"/>
  <c r="B570" i="2" s="1"/>
  <c r="B571" i="2" s="1"/>
  <c r="B572" i="2" s="1"/>
  <c r="B573" i="2" l="1"/>
  <c r="B574" i="2" s="1"/>
  <c r="B575" i="2" s="1"/>
  <c r="B576" i="2" s="1"/>
  <c r="B577" i="2" s="1"/>
  <c r="B578" i="2" s="1"/>
  <c r="B580" i="2" s="1"/>
  <c r="B581" i="2" s="1"/>
  <c r="B582" i="2" s="1"/>
  <c r="B583" i="2" s="1"/>
  <c r="B584" i="2" s="1"/>
  <c r="B585" i="2" s="1"/>
  <c r="B586" i="2" s="1"/>
  <c r="B587" i="2" s="1"/>
  <c r="B588" i="2" s="1"/>
  <c r="B579" i="2" l="1"/>
  <c r="B589" i="2"/>
  <c r="B590" i="2" s="1"/>
  <c r="B591" i="2" s="1"/>
  <c r="B592" i="2" s="1"/>
  <c r="B593" i="2" s="1"/>
  <c r="B594" i="2" s="1"/>
  <c r="B596" i="2" s="1"/>
  <c r="B597" i="2" s="1"/>
  <c r="B598" i="2" s="1"/>
  <c r="B599" i="2" s="1"/>
  <c r="B600" i="2" s="1"/>
  <c r="B601" i="2" s="1"/>
  <c r="B602" i="2" s="1"/>
  <c r="B605" i="2" s="1"/>
  <c r="B606" i="2" s="1"/>
  <c r="B607" i="2" s="1"/>
  <c r="B608" i="2" s="1"/>
  <c r="B609" i="2" s="1"/>
  <c r="B610" i="2" s="1"/>
  <c r="B612" i="2" s="1"/>
  <c r="B613" i="2" s="1"/>
  <c r="B614" i="2" s="1"/>
  <c r="B615" i="2" s="1"/>
  <c r="B616" i="2" s="1"/>
  <c r="B617" i="2" s="1"/>
  <c r="B618" i="2" s="1"/>
  <c r="B621" i="2" s="1"/>
  <c r="B622" i="2" s="1"/>
  <c r="B623" i="2" s="1"/>
  <c r="B624" i="2" s="1"/>
  <c r="B625" i="2" s="1"/>
  <c r="B626" i="2" s="1"/>
  <c r="B603" i="2" l="1"/>
  <c r="B604" i="2" s="1"/>
  <c r="B611" i="2"/>
  <c r="B595" i="2"/>
  <c r="B619" i="2"/>
  <c r="B620" i="2" s="1"/>
  <c r="B628" i="2"/>
  <c r="B629" i="2" s="1"/>
  <c r="B630" i="2" s="1"/>
  <c r="B631" i="2" s="1"/>
  <c r="B632" i="2" s="1"/>
  <c r="B633" i="2" s="1"/>
  <c r="B634" i="2" s="1"/>
  <c r="B635" i="2" s="1"/>
  <c r="B636" i="2" s="1"/>
  <c r="B627" i="2"/>
  <c r="B63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<sst xmlns="http://schemas.openxmlformats.org/spreadsheetml/2006/main" count="1763" uniqueCount="157">
  <si>
    <t>MOVIMIENTOS (INCLUYE: INGRESOS - GASTOS - TRASLADOS A MEDIOS)</t>
  </si>
  <si>
    <t>PLANILLA DE HORARIOS - MAGUI</t>
  </si>
  <si>
    <t>SEMANA:</t>
  </si>
  <si>
    <t>Extra</t>
  </si>
  <si>
    <t>Valor hora:</t>
  </si>
  <si>
    <t>hola</t>
  </si>
  <si>
    <t>Ingreso:</t>
  </si>
  <si>
    <t>Total semana:</t>
  </si>
  <si>
    <t>Total Mensual:</t>
  </si>
  <si>
    <t>Aquí se registran todos los movimientos de ingresos, gastos, y traslados entre medios (tMov)</t>
  </si>
  <si>
    <t>MAGUI:</t>
  </si>
  <si>
    <t>Salida:</t>
  </si>
  <si>
    <t>Fecha</t>
  </si>
  <si>
    <t>Subcategoria</t>
  </si>
  <si>
    <t>Detalle</t>
  </si>
  <si>
    <t>Medio</t>
  </si>
  <si>
    <t>Valor</t>
  </si>
  <si>
    <t>FALTA</t>
  </si>
  <si>
    <t>Total:</t>
  </si>
  <si>
    <t>Balance Inicial</t>
  </si>
  <si>
    <t>Inicio de actividades</t>
  </si>
  <si>
    <t>Efectivo</t>
  </si>
  <si>
    <t>Santander Rio</t>
  </si>
  <si>
    <t>Exhibidores en casa:</t>
  </si>
  <si>
    <t>Caja Fuerte</t>
  </si>
  <si>
    <t>TIPO</t>
  </si>
  <si>
    <t>Cant.</t>
  </si>
  <si>
    <t>TIEMPO min</t>
  </si>
  <si>
    <t>DURACIÓN</t>
  </si>
  <si>
    <t>Galicia</t>
  </si>
  <si>
    <t>ORING</t>
  </si>
  <si>
    <t>Oring LP</t>
  </si>
  <si>
    <t>Mercado Pago</t>
  </si>
  <si>
    <t>Alum N°2</t>
  </si>
  <si>
    <t>Importaciones</t>
  </si>
  <si>
    <t>Argenbroker SRL</t>
  </si>
  <si>
    <t>Aluminio</t>
  </si>
  <si>
    <t>Proveedores</t>
  </si>
  <si>
    <t>Dac Chapa Saci</t>
  </si>
  <si>
    <t>Regatones</t>
  </si>
  <si>
    <t>Impuestos</t>
  </si>
  <si>
    <t>IVA</t>
  </si>
  <si>
    <t>Trabajos Electricos</t>
  </si>
  <si>
    <t>Sueldos</t>
  </si>
  <si>
    <t>Alex</t>
  </si>
  <si>
    <t>Magui</t>
  </si>
  <si>
    <t>Elias</t>
  </si>
  <si>
    <t>Patricio</t>
  </si>
  <si>
    <t>A calcular</t>
  </si>
  <si>
    <t>Vale</t>
  </si>
  <si>
    <t>Mati</t>
  </si>
  <si>
    <t>Gabriel</t>
  </si>
  <si>
    <t>Ale</t>
  </si>
  <si>
    <t>Proximo:</t>
  </si>
  <si>
    <t>Patricio ULTIMO</t>
  </si>
  <si>
    <t>Quincenal</t>
  </si>
  <si>
    <t>Le falta</t>
  </si>
  <si>
    <t>Nacho</t>
  </si>
  <si>
    <t>Resta:</t>
  </si>
  <si>
    <t>Sumar $5.000 por cada hora</t>
  </si>
  <si>
    <t>Ale horas extras $5.000</t>
  </si>
  <si>
    <t>Falta Viernes</t>
  </si>
  <si>
    <t>A tranferir:</t>
  </si>
  <si>
    <t>Ivan</t>
  </si>
  <si>
    <t>Mensual</t>
  </si>
  <si>
    <t>Semanal</t>
  </si>
  <si>
    <t>DEBO</t>
  </si>
  <si>
    <t>FERIADO</t>
  </si>
  <si>
    <t>Gabi Oribe</t>
  </si>
  <si>
    <t>David</t>
  </si>
  <si>
    <t>AGUINALDO</t>
  </si>
  <si>
    <t>Ignacio</t>
  </si>
  <si>
    <t>Gabriel Oribe</t>
  </si>
  <si>
    <t>David Ignacio</t>
  </si>
  <si>
    <t>0720144488000039752004</t>
  </si>
  <si>
    <t>0000003100058242710478</t>
  </si>
  <si>
    <t>0000003100063889228626</t>
  </si>
  <si>
    <t>0000003100068249733761</t>
  </si>
  <si>
    <t>4530000800014661152497</t>
  </si>
  <si>
    <t>0110311130031120486051</t>
  </si>
  <si>
    <t>0000003100059899413118</t>
  </si>
  <si>
    <t>Hora:</t>
  </si>
  <si>
    <t>Semanal:</t>
  </si>
  <si>
    <t>Celular 1er cuota</t>
  </si>
  <si>
    <t>Heladera 1er cuota</t>
  </si>
  <si>
    <t>Wilver</t>
  </si>
  <si>
    <t>Celular 2er cuota</t>
  </si>
  <si>
    <t>Heladera 2er cuota</t>
  </si>
  <si>
    <t>IVAN SMITH</t>
  </si>
  <si>
    <t>Con Aguinaldo</t>
  </si>
  <si>
    <t>Heladera 3er cuota</t>
  </si>
  <si>
    <t>en horas extras</t>
  </si>
  <si>
    <t>ALEX BRAVO</t>
  </si>
  <si>
    <t>Vacaciones</t>
  </si>
  <si>
    <t>GABY MAYESKI</t>
  </si>
  <si>
    <t>+ 2SEM. Vacaciones</t>
  </si>
  <si>
    <t>Solo Aguinaldo</t>
  </si>
  <si>
    <t>DAVID SALVATIERRA</t>
  </si>
  <si>
    <t>*</t>
  </si>
  <si>
    <t>Lucas, Vecino</t>
  </si>
  <si>
    <t>Zapaz 1er</t>
  </si>
  <si>
    <t>Lucas</t>
  </si>
  <si>
    <t>Inicio Vacaciones</t>
  </si>
  <si>
    <t>Zapaz + 1 del Celu</t>
  </si>
  <si>
    <t>2/6 Celular</t>
  </si>
  <si>
    <t>3/6 Celular</t>
  </si>
  <si>
    <t>4/6 Celular</t>
  </si>
  <si>
    <t>Nombre</t>
  </si>
  <si>
    <t>CBU - CVU</t>
  </si>
  <si>
    <t>FECHA</t>
  </si>
  <si>
    <t>NOMBRE</t>
  </si>
  <si>
    <t>IMPORTE</t>
  </si>
  <si>
    <t>CBU</t>
  </si>
  <si>
    <t>0070139230004098394253</t>
  </si>
  <si>
    <t>IGNACIO MICHELI</t>
  </si>
  <si>
    <t>dsalvatierrabb</t>
  </si>
  <si>
    <t>PAGOS:</t>
  </si>
  <si>
    <t>Heladera 2da cuota</t>
  </si>
  <si>
    <t>Transferencia</t>
  </si>
  <si>
    <t>TOTAL</t>
  </si>
  <si>
    <t>Gabi Mayeski</t>
  </si>
  <si>
    <t>Nuevos sueldos:</t>
  </si>
  <si>
    <t>Nuevo Sueldo</t>
  </si>
  <si>
    <t>AUMENTO</t>
  </si>
  <si>
    <t>NOMBRE:</t>
  </si>
  <si>
    <t>x mes</t>
  </si>
  <si>
    <t>x semana</t>
  </si>
  <si>
    <t>x quincena</t>
  </si>
  <si>
    <t>%</t>
  </si>
  <si>
    <t>Oribe</t>
  </si>
  <si>
    <t>Alex Bravo</t>
  </si>
  <si>
    <t>Ivan smith</t>
  </si>
  <si>
    <t>Zapas</t>
  </si>
  <si>
    <t>Gabriel Mayeski</t>
  </si>
  <si>
    <t>David:</t>
  </si>
  <si>
    <t>Cuota</t>
  </si>
  <si>
    <t>Importe</t>
  </si>
  <si>
    <t>David Salvatierra</t>
  </si>
  <si>
    <t>Wilber</t>
  </si>
  <si>
    <t>WILVER</t>
  </si>
  <si>
    <t>LUNES</t>
  </si>
  <si>
    <t>MIERCOLES</t>
  </si>
  <si>
    <t>JUEVES</t>
  </si>
  <si>
    <t>Carbones x Par</t>
  </si>
  <si>
    <t>pares</t>
  </si>
  <si>
    <t>CONEXIONES DE COMBUSTIBLE</t>
  </si>
  <si>
    <r>
      <rPr>
        <b/>
        <sz val="28"/>
        <color theme="1"/>
        <rFont val="Arial"/>
        <family val="2"/>
      </rPr>
      <t>1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Acople R. x 6</t>
    </r>
  </si>
  <si>
    <r>
      <rPr>
        <b/>
        <sz val="28"/>
        <color theme="1"/>
        <rFont val="Arial"/>
        <family val="2"/>
      </rPr>
      <t>2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Codo 90° x 6</t>
    </r>
  </si>
  <si>
    <r>
      <rPr>
        <b/>
        <sz val="26"/>
        <color theme="1"/>
        <rFont val="Arial"/>
        <family val="2"/>
      </rPr>
      <t>3</t>
    </r>
    <r>
      <rPr>
        <b/>
        <sz val="22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Acople R. x 8</t>
    </r>
  </si>
  <si>
    <r>
      <rPr>
        <b/>
        <sz val="28"/>
        <color theme="1"/>
        <rFont val="Arial"/>
        <family val="2"/>
      </rPr>
      <t>4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Codo 90° x 8</t>
    </r>
  </si>
  <si>
    <r>
      <rPr>
        <b/>
        <sz val="28"/>
        <color theme="1"/>
        <rFont val="Arial"/>
        <family val="2"/>
      </rPr>
      <t>5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Codo 45° x 6</t>
    </r>
  </si>
  <si>
    <r>
      <rPr>
        <b/>
        <sz val="28"/>
        <color theme="1"/>
        <rFont val="Arial"/>
        <family val="2"/>
      </rPr>
      <t>6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Tee c/ R. Mx6</t>
    </r>
  </si>
  <si>
    <r>
      <rPr>
        <b/>
        <sz val="28"/>
        <color theme="1"/>
        <rFont val="Arial"/>
        <family val="2"/>
      </rPr>
      <t>7</t>
    </r>
    <r>
      <rPr>
        <b/>
        <sz val="18"/>
        <color theme="1"/>
        <rFont val="Arial"/>
        <family val="2"/>
      </rPr>
      <t xml:space="preserve">
</t>
    </r>
    <r>
      <rPr>
        <b/>
        <sz val="17"/>
        <color theme="1"/>
        <rFont val="Arial"/>
        <family val="2"/>
      </rPr>
      <t>Codo 90° x 4</t>
    </r>
  </si>
  <si>
    <r>
      <rPr>
        <b/>
        <sz val="28"/>
        <color theme="1"/>
        <rFont val="Arial"/>
        <family val="2"/>
      </rPr>
      <t>15</t>
    </r>
    <r>
      <rPr>
        <b/>
        <sz val="18"/>
        <color theme="1"/>
        <rFont val="Arial"/>
        <family val="2"/>
      </rPr>
      <t xml:space="preserve">
TEE x6</t>
    </r>
  </si>
  <si>
    <r>
      <rPr>
        <b/>
        <sz val="28"/>
        <color theme="1"/>
        <rFont val="Arial"/>
        <family val="2"/>
      </rPr>
      <t>17</t>
    </r>
    <r>
      <rPr>
        <b/>
        <sz val="18"/>
        <color theme="1"/>
        <rFont val="Arial"/>
        <family val="2"/>
      </rPr>
      <t xml:space="preserve">
Ac. R. x10</t>
    </r>
  </si>
  <si>
    <r>
      <rPr>
        <b/>
        <sz val="28"/>
        <color theme="1"/>
        <rFont val="Arial"/>
        <family val="2"/>
      </rPr>
      <t>18</t>
    </r>
    <r>
      <rPr>
        <b/>
        <sz val="18"/>
        <color theme="1"/>
        <rFont val="Arial"/>
        <family val="2"/>
      </rPr>
      <t xml:space="preserve">
Codo 90°x10</t>
    </r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</si>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</sst>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\ #,##0;[Red]\-&quot;$&quot;\ #,##0"/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[$-2C0A]dddd\,\ dd&quot; de &quot;mmm&quot; de &quot;yy;@"/>
    <numFmt numFmtId="165" formatCode="[$-2C0A]dddd\,\ d"/>
    <numFmt numFmtId="166" formatCode="ddd\ dd/mm/yyyy"/>
    <numFmt numFmtId="167" formatCode="_-&quot;$&quot;\ * #,##0_-;\-&quot;$&quot;\ * #,##0_-;_-&quot;$&quot;\ * &quot;-&quot;??_-;_-@_-"/>
    <numFmt numFmtId="168" formatCode="_-[$$-2C0A]\ * #,##0_-;\-[$$-2C0A]\ * #,##0_-;_-[$$-2C0A]\ * &quot;-&quot;??_-;_-@_-"/>
    <numFmt numFmtId="169" formatCode="ddd\ d\-mmm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5"/>
      <color theme="0"/>
      <name val="Open Sans ExtraBold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sz val="8"/>
      <color rgb="FF000000"/>
      <name val="Verdana"/>
      <family val="2"/>
    </font>
    <font>
      <b/>
      <sz val="4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22"/>
      <color theme="1"/>
      <name val="Arial"/>
      <family val="2"/>
    </font>
    <font>
      <b/>
      <sz val="26"/>
      <color theme="1"/>
      <name val="Arial"/>
      <family val="2"/>
    </font>
    <font>
      <b/>
      <sz val="17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59999389629810485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18">
    <xf numFmtId="0" fontId="0" fillId="0" borderId="0" xfId="0"/>
    <xf numFmtId="0" fontId="0" fillId="2" borderId="0" xfId="0" applyFill="1"/>
    <xf numFmtId="0" fontId="2" fillId="0" borderId="0" xfId="0" applyFont="1"/>
    <xf numFmtId="0" fontId="3" fillId="2" borderId="0" xfId="0" applyFont="1" applyFill="1" applyAlignment="1">
      <alignment vertical="center"/>
    </xf>
    <xf numFmtId="0" fontId="1" fillId="3" borderId="1" xfId="0" applyFont="1" applyFill="1" applyBorder="1" applyAlignment="1">
      <alignment horizontal="center"/>
    </xf>
    <xf numFmtId="0" fontId="0" fillId="5" borderId="0" xfId="0" applyFill="1"/>
    <xf numFmtId="44" fontId="0" fillId="0" borderId="0" xfId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4" fontId="0" fillId="0" borderId="0" xfId="0" applyNumberFormat="1"/>
    <xf numFmtId="44" fontId="4" fillId="0" borderId="0" xfId="0" applyNumberFormat="1" applyFont="1"/>
    <xf numFmtId="0" fontId="4" fillId="0" borderId="0" xfId="0" applyFon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20" fontId="0" fillId="0" borderId="2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20" fontId="0" fillId="0" borderId="6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20" fontId="0" fillId="0" borderId="8" xfId="0" applyNumberFormat="1" applyBorder="1" applyAlignment="1">
      <alignment horizontal="center" vertical="center"/>
    </xf>
    <xf numFmtId="2" fontId="6" fillId="7" borderId="12" xfId="0" applyNumberFormat="1" applyFont="1" applyFill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44" fontId="4" fillId="6" borderId="0" xfId="1" applyFont="1" applyFill="1"/>
    <xf numFmtId="166" fontId="0" fillId="0" borderId="0" xfId="0" applyNumberFormat="1" applyAlignment="1">
      <alignment horizontal="center"/>
    </xf>
    <xf numFmtId="44" fontId="4" fillId="0" borderId="0" xfId="1" applyFont="1"/>
    <xf numFmtId="20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 vertical="center"/>
    </xf>
    <xf numFmtId="165" fontId="6" fillId="7" borderId="18" xfId="0" applyNumberFormat="1" applyFont="1" applyFill="1" applyBorder="1" applyAlignment="1">
      <alignment horizontal="center" vertical="center"/>
    </xf>
    <xf numFmtId="0" fontId="4" fillId="4" borderId="0" xfId="0" applyFont="1" applyFill="1"/>
    <xf numFmtId="0" fontId="0" fillId="9" borderId="0" xfId="0" applyFill="1"/>
    <xf numFmtId="0" fontId="4" fillId="8" borderId="0" xfId="0" applyFont="1" applyFill="1"/>
    <xf numFmtId="0" fontId="0" fillId="8" borderId="0" xfId="0" applyFill="1"/>
    <xf numFmtId="44" fontId="0" fillId="6" borderId="0" xfId="1" applyFont="1" applyFill="1"/>
    <xf numFmtId="0" fontId="0" fillId="10" borderId="0" xfId="0" applyFill="1"/>
    <xf numFmtId="44" fontId="5" fillId="0" borderId="0" xfId="1" applyFont="1"/>
    <xf numFmtId="0" fontId="6" fillId="0" borderId="0" xfId="0" applyFont="1" applyAlignment="1">
      <alignment horizontal="center" vertical="center"/>
    </xf>
    <xf numFmtId="20" fontId="0" fillId="0" borderId="20" xfId="0" applyNumberFormat="1" applyBorder="1" applyAlignment="1">
      <alignment horizontal="center" vertical="center"/>
    </xf>
    <xf numFmtId="20" fontId="0" fillId="0" borderId="21" xfId="0" applyNumberFormat="1" applyBorder="1" applyAlignment="1">
      <alignment horizontal="center" vertical="center"/>
    </xf>
    <xf numFmtId="2" fontId="4" fillId="8" borderId="11" xfId="0" applyNumberFormat="1" applyFont="1" applyFill="1" applyBorder="1" applyAlignment="1">
      <alignment horizontal="center" vertical="center"/>
    </xf>
    <xf numFmtId="165" fontId="6" fillId="4" borderId="17" xfId="0" applyNumberFormat="1" applyFont="1" applyFill="1" applyBorder="1" applyAlignment="1">
      <alignment horizontal="center" vertical="center"/>
    </xf>
    <xf numFmtId="165" fontId="6" fillId="4" borderId="22" xfId="0" applyNumberFormat="1" applyFont="1" applyFill="1" applyBorder="1" applyAlignment="1">
      <alignment horizontal="center" vertical="center"/>
    </xf>
    <xf numFmtId="165" fontId="6" fillId="12" borderId="18" xfId="0" applyNumberFormat="1" applyFont="1" applyFill="1" applyBorder="1" applyAlignment="1">
      <alignment horizontal="center" vertical="center"/>
    </xf>
    <xf numFmtId="165" fontId="6" fillId="5" borderId="18" xfId="0" applyNumberFormat="1" applyFont="1" applyFill="1" applyBorder="1" applyAlignment="1">
      <alignment horizontal="center" vertical="center"/>
    </xf>
    <xf numFmtId="165" fontId="6" fillId="8" borderId="18" xfId="0" applyNumberFormat="1" applyFont="1" applyFill="1" applyBorder="1" applyAlignment="1">
      <alignment horizontal="center" vertical="center"/>
    </xf>
    <xf numFmtId="20" fontId="0" fillId="0" borderId="23" xfId="0" applyNumberFormat="1" applyBorder="1" applyAlignment="1">
      <alignment horizontal="center" vertical="center"/>
    </xf>
    <xf numFmtId="20" fontId="0" fillId="0" borderId="24" xfId="0" applyNumberFormat="1" applyBorder="1" applyAlignment="1">
      <alignment horizontal="center" vertical="center"/>
    </xf>
    <xf numFmtId="165" fontId="6" fillId="4" borderId="18" xfId="0" applyNumberFormat="1" applyFont="1" applyFill="1" applyBorder="1" applyAlignment="1">
      <alignment horizontal="center" vertical="center"/>
    </xf>
    <xf numFmtId="44" fontId="4" fillId="0" borderId="0" xfId="0" applyNumberFormat="1" applyFont="1" applyAlignment="1">
      <alignment horizontal="center"/>
    </xf>
    <xf numFmtId="20" fontId="0" fillId="0" borderId="0" xfId="0" applyNumberFormat="1"/>
    <xf numFmtId="164" fontId="6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 wrapText="1"/>
    </xf>
    <xf numFmtId="44" fontId="4" fillId="0" borderId="0" xfId="1" applyFont="1" applyAlignment="1">
      <alignment horizontal="center"/>
    </xf>
    <xf numFmtId="167" fontId="0" fillId="0" borderId="0" xfId="1" applyNumberFormat="1" applyFont="1"/>
    <xf numFmtId="167" fontId="4" fillId="0" borderId="0" xfId="1" applyNumberFormat="1" applyFont="1"/>
    <xf numFmtId="167" fontId="0" fillId="0" borderId="0" xfId="0" applyNumberFormat="1"/>
    <xf numFmtId="166" fontId="0" fillId="0" borderId="13" xfId="0" applyNumberFormat="1" applyBorder="1" applyAlignment="1">
      <alignment horizontal="center"/>
    </xf>
    <xf numFmtId="0" fontId="0" fillId="0" borderId="25" xfId="0" applyBorder="1"/>
    <xf numFmtId="0" fontId="4" fillId="10" borderId="25" xfId="0" applyFont="1" applyFill="1" applyBorder="1"/>
    <xf numFmtId="44" fontId="0" fillId="0" borderId="25" xfId="1" applyFont="1" applyBorder="1"/>
    <xf numFmtId="44" fontId="5" fillId="0" borderId="14" xfId="1" applyFont="1" applyBorder="1"/>
    <xf numFmtId="166" fontId="0" fillId="0" borderId="26" xfId="0" applyNumberFormat="1" applyBorder="1" applyAlignment="1">
      <alignment horizontal="center"/>
    </xf>
    <xf numFmtId="0" fontId="4" fillId="10" borderId="0" xfId="0" applyFont="1" applyFill="1"/>
    <xf numFmtId="44" fontId="0" fillId="0" borderId="0" xfId="1" applyFont="1" applyBorder="1"/>
    <xf numFmtId="44" fontId="0" fillId="0" borderId="27" xfId="1" applyFont="1" applyBorder="1"/>
    <xf numFmtId="166" fontId="0" fillId="0" borderId="28" xfId="0" applyNumberFormat="1" applyBorder="1" applyAlignment="1">
      <alignment horizontal="center"/>
    </xf>
    <xf numFmtId="0" fontId="0" fillId="0" borderId="29" xfId="0" applyBorder="1"/>
    <xf numFmtId="0" fontId="0" fillId="10" borderId="29" xfId="0" applyFill="1" applyBorder="1"/>
    <xf numFmtId="44" fontId="0" fillId="0" borderId="29" xfId="1" applyFont="1" applyBorder="1"/>
    <xf numFmtId="44" fontId="0" fillId="0" borderId="30" xfId="1" applyFont="1" applyBorder="1"/>
    <xf numFmtId="0" fontId="4" fillId="9" borderId="25" xfId="0" applyFont="1" applyFill="1" applyBorder="1"/>
    <xf numFmtId="44" fontId="0" fillId="0" borderId="14" xfId="1" applyFont="1" applyBorder="1"/>
    <xf numFmtId="0" fontId="4" fillId="9" borderId="0" xfId="0" applyFont="1" applyFill="1"/>
    <xf numFmtId="0" fontId="4" fillId="9" borderId="29" xfId="0" applyFont="1" applyFill="1" applyBorder="1"/>
    <xf numFmtId="44" fontId="4" fillId="0" borderId="14" xfId="1" applyFont="1" applyBorder="1"/>
    <xf numFmtId="44" fontId="4" fillId="0" borderId="27" xfId="1" applyFont="1" applyBorder="1"/>
    <xf numFmtId="44" fontId="4" fillId="0" borderId="30" xfId="1" applyFont="1" applyBorder="1"/>
    <xf numFmtId="165" fontId="6" fillId="4" borderId="3" xfId="0" applyNumberFormat="1" applyFont="1" applyFill="1" applyBorder="1" applyAlignment="1">
      <alignment horizontal="center" vertical="center"/>
    </xf>
    <xf numFmtId="165" fontId="6" fillId="12" borderId="3" xfId="0" applyNumberFormat="1" applyFont="1" applyFill="1" applyBorder="1" applyAlignment="1">
      <alignment horizontal="center" vertical="center"/>
    </xf>
    <xf numFmtId="165" fontId="6" fillId="7" borderId="3" xfId="0" applyNumberFormat="1" applyFont="1" applyFill="1" applyBorder="1" applyAlignment="1">
      <alignment horizontal="center" vertical="center"/>
    </xf>
    <xf numFmtId="44" fontId="4" fillId="0" borderId="25" xfId="1" applyFont="1" applyBorder="1"/>
    <xf numFmtId="44" fontId="4" fillId="0" borderId="0" xfId="1" applyFont="1" applyBorder="1"/>
    <xf numFmtId="44" fontId="4" fillId="0" borderId="29" xfId="1" applyFont="1" applyBorder="1"/>
    <xf numFmtId="167" fontId="4" fillId="0" borderId="0" xfId="0" applyNumberFormat="1" applyFont="1" applyAlignment="1">
      <alignment horizontal="center"/>
    </xf>
    <xf numFmtId="167" fontId="4" fillId="6" borderId="12" xfId="1" applyNumberFormat="1" applyFont="1" applyFill="1" applyBorder="1" applyAlignment="1">
      <alignment horizontal="center"/>
    </xf>
    <xf numFmtId="2" fontId="4" fillId="8" borderId="31" xfId="0" applyNumberFormat="1" applyFont="1" applyFill="1" applyBorder="1" applyAlignment="1">
      <alignment horizontal="center" vertical="center"/>
    </xf>
    <xf numFmtId="167" fontId="0" fillId="0" borderId="19" xfId="0" applyNumberFormat="1" applyBorder="1"/>
    <xf numFmtId="2" fontId="4" fillId="6" borderId="16" xfId="0" applyNumberFormat="1" applyFont="1" applyFill="1" applyBorder="1" applyAlignment="1">
      <alignment horizontal="center"/>
    </xf>
    <xf numFmtId="165" fontId="6" fillId="12" borderId="32" xfId="0" applyNumberFormat="1" applyFont="1" applyFill="1" applyBorder="1" applyAlignment="1">
      <alignment horizontal="center" vertical="center"/>
    </xf>
    <xf numFmtId="2" fontId="4" fillId="8" borderId="30" xfId="0" applyNumberFormat="1" applyFont="1" applyFill="1" applyBorder="1" applyAlignment="1">
      <alignment horizontal="center" vertical="center"/>
    </xf>
    <xf numFmtId="165" fontId="6" fillId="6" borderId="3" xfId="0" applyNumberFormat="1" applyFont="1" applyFill="1" applyBorder="1" applyAlignment="1">
      <alignment horizontal="center" vertical="center"/>
    </xf>
    <xf numFmtId="0" fontId="0" fillId="10" borderId="25" xfId="0" applyFill="1" applyBorder="1"/>
    <xf numFmtId="167" fontId="0" fillId="0" borderId="15" xfId="0" applyNumberFormat="1" applyBorder="1"/>
    <xf numFmtId="0" fontId="4" fillId="0" borderId="0" xfId="0" applyFont="1" applyAlignment="1">
      <alignment vertical="center"/>
    </xf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3" xfId="0" applyBorder="1" applyAlignment="1">
      <alignment horizontal="center"/>
    </xf>
    <xf numFmtId="0" fontId="0" fillId="0" borderId="39" xfId="0" applyBorder="1"/>
    <xf numFmtId="0" fontId="4" fillId="5" borderId="34" xfId="0" applyFont="1" applyFill="1" applyBorder="1" applyAlignment="1">
      <alignment horizontal="center" vertical="center"/>
    </xf>
    <xf numFmtId="0" fontId="4" fillId="5" borderId="35" xfId="0" applyFont="1" applyFill="1" applyBorder="1" applyAlignment="1">
      <alignment horizontal="center"/>
    </xf>
    <xf numFmtId="0" fontId="0" fillId="5" borderId="35" xfId="0" applyFill="1" applyBorder="1"/>
    <xf numFmtId="0" fontId="4" fillId="0" borderId="36" xfId="0" applyFont="1" applyBorder="1" applyAlignment="1">
      <alignment vertical="center"/>
    </xf>
    <xf numFmtId="0" fontId="4" fillId="0" borderId="36" xfId="0" applyFont="1" applyBorder="1"/>
    <xf numFmtId="0" fontId="4" fillId="0" borderId="38" xfId="0" applyFont="1" applyBorder="1"/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2" fontId="4" fillId="5" borderId="32" xfId="0" applyNumberFormat="1" applyFont="1" applyFill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0" xfId="0" applyNumberFormat="1"/>
    <xf numFmtId="165" fontId="6" fillId="4" borderId="2" xfId="0" applyNumberFormat="1" applyFont="1" applyFill="1" applyBorder="1" applyAlignment="1">
      <alignment horizontal="center" vertical="center"/>
    </xf>
    <xf numFmtId="2" fontId="4" fillId="8" borderId="41" xfId="0" applyNumberFormat="1" applyFont="1" applyFill="1" applyBorder="1" applyAlignment="1">
      <alignment horizontal="center" vertical="center"/>
    </xf>
    <xf numFmtId="167" fontId="4" fillId="0" borderId="25" xfId="1" applyNumberFormat="1" applyFont="1" applyBorder="1"/>
    <xf numFmtId="167" fontId="0" fillId="0" borderId="25" xfId="0" applyNumberFormat="1" applyBorder="1"/>
    <xf numFmtId="167" fontId="0" fillId="0" borderId="14" xfId="1" applyNumberFormat="1" applyFont="1" applyBorder="1"/>
    <xf numFmtId="167" fontId="4" fillId="0" borderId="0" xfId="1" applyNumberFormat="1" applyFont="1" applyBorder="1"/>
    <xf numFmtId="167" fontId="0" fillId="0" borderId="27" xfId="1" applyNumberFormat="1" applyFont="1" applyBorder="1"/>
    <xf numFmtId="167" fontId="4" fillId="0" borderId="29" xfId="1" applyNumberFormat="1" applyFont="1" applyBorder="1"/>
    <xf numFmtId="167" fontId="0" fillId="0" borderId="29" xfId="0" applyNumberFormat="1" applyBorder="1"/>
    <xf numFmtId="167" fontId="0" fillId="0" borderId="30" xfId="1" applyNumberFormat="1" applyFont="1" applyBorder="1"/>
    <xf numFmtId="167" fontId="5" fillId="0" borderId="14" xfId="1" applyNumberFormat="1" applyFont="1" applyBorder="1"/>
    <xf numFmtId="167" fontId="5" fillId="0" borderId="25" xfId="1" applyNumberFormat="1" applyFont="1" applyBorder="1"/>
    <xf numFmtId="167" fontId="0" fillId="0" borderId="0" xfId="1" applyNumberFormat="1" applyFont="1" applyBorder="1"/>
    <xf numFmtId="167" fontId="0" fillId="0" borderId="29" xfId="1" applyNumberFormat="1" applyFont="1" applyBorder="1"/>
    <xf numFmtId="167" fontId="0" fillId="10" borderId="27" xfId="1" applyNumberFormat="1" applyFont="1" applyFill="1" applyBorder="1"/>
    <xf numFmtId="167" fontId="0" fillId="0" borderId="26" xfId="1" applyNumberFormat="1" applyFont="1" applyBorder="1"/>
    <xf numFmtId="0" fontId="4" fillId="0" borderId="0" xfId="0" applyFont="1" applyAlignment="1">
      <alignment horizontal="right"/>
    </xf>
    <xf numFmtId="20" fontId="0" fillId="0" borderId="6" xfId="0" applyNumberFormat="1" applyBorder="1" applyAlignment="1">
      <alignment horizontal="center"/>
    </xf>
    <xf numFmtId="20" fontId="0" fillId="0" borderId="7" xfId="0" applyNumberFormat="1" applyBorder="1" applyAlignment="1">
      <alignment horizontal="center"/>
    </xf>
    <xf numFmtId="0" fontId="0" fillId="0" borderId="0" xfId="0" quotePrefix="1"/>
    <xf numFmtId="167" fontId="4" fillId="0" borderId="0" xfId="0" applyNumberFormat="1" applyFont="1"/>
    <xf numFmtId="167" fontId="4" fillId="9" borderId="25" xfId="1" applyNumberFormat="1" applyFont="1" applyFill="1" applyBorder="1"/>
    <xf numFmtId="167" fontId="4" fillId="9" borderId="0" xfId="1" applyNumberFormat="1" applyFont="1" applyFill="1" applyBorder="1"/>
    <xf numFmtId="0" fontId="0" fillId="0" borderId="0" xfId="0" applyAlignment="1">
      <alignment horizontal="right"/>
    </xf>
    <xf numFmtId="167" fontId="4" fillId="0" borderId="0" xfId="1" applyNumberFormat="1" applyFont="1" applyBorder="1" applyAlignment="1">
      <alignment horizontal="center"/>
    </xf>
    <xf numFmtId="166" fontId="0" fillId="13" borderId="26" xfId="0" applyNumberFormat="1" applyFill="1" applyBorder="1" applyAlignment="1">
      <alignment horizontal="center"/>
    </xf>
    <xf numFmtId="0" fontId="4" fillId="6" borderId="0" xfId="0" applyFont="1" applyFill="1" applyAlignment="1">
      <alignment horizontal="left" vertical="center" indent="1"/>
    </xf>
    <xf numFmtId="0" fontId="0" fillId="0" borderId="42" xfId="0" applyBorder="1"/>
    <xf numFmtId="168" fontId="0" fillId="0" borderId="42" xfId="1" applyNumberFormat="1" applyFont="1" applyBorder="1"/>
    <xf numFmtId="0" fontId="4" fillId="5" borderId="42" xfId="0" applyFont="1" applyFill="1" applyBorder="1" applyAlignment="1">
      <alignment horizontal="center"/>
    </xf>
    <xf numFmtId="0" fontId="4" fillId="5" borderId="42" xfId="0" applyFont="1" applyFill="1" applyBorder="1"/>
    <xf numFmtId="0" fontId="4" fillId="10" borderId="42" xfId="0" applyFont="1" applyFill="1" applyBorder="1" applyAlignment="1">
      <alignment horizontal="center"/>
    </xf>
    <xf numFmtId="9" fontId="0" fillId="0" borderId="0" xfId="2" applyFont="1"/>
    <xf numFmtId="167" fontId="0" fillId="0" borderId="13" xfId="0" applyNumberFormat="1" applyBorder="1"/>
    <xf numFmtId="167" fontId="0" fillId="0" borderId="26" xfId="0" applyNumberFormat="1" applyBorder="1"/>
    <xf numFmtId="167" fontId="0" fillId="0" borderId="28" xfId="0" applyNumberFormat="1" applyBorder="1"/>
    <xf numFmtId="167" fontId="0" fillId="0" borderId="25" xfId="1" applyNumberFormat="1" applyFont="1" applyBorder="1"/>
    <xf numFmtId="167" fontId="0" fillId="0" borderId="0" xfId="1" applyNumberFormat="1" applyFont="1" applyFill="1" applyBorder="1"/>
    <xf numFmtId="167" fontId="0" fillId="0" borderId="0" xfId="1" applyNumberFormat="1" applyFont="1" applyAlignment="1">
      <alignment horizontal="center"/>
    </xf>
    <xf numFmtId="167" fontId="0" fillId="0" borderId="27" xfId="0" applyNumberFormat="1" applyBorder="1"/>
    <xf numFmtId="44" fontId="0" fillId="4" borderId="0" xfId="1" applyFont="1" applyFill="1"/>
    <xf numFmtId="0" fontId="0" fillId="4" borderId="0" xfId="0" applyFill="1"/>
    <xf numFmtId="0" fontId="4" fillId="0" borderId="44" xfId="0" applyFont="1" applyBorder="1"/>
    <xf numFmtId="0" fontId="0" fillId="0" borderId="45" xfId="0" applyBorder="1"/>
    <xf numFmtId="0" fontId="0" fillId="0" borderId="46" xfId="0" applyBorder="1"/>
    <xf numFmtId="167" fontId="0" fillId="0" borderId="47" xfId="1" applyNumberFormat="1" applyFont="1" applyBorder="1"/>
    <xf numFmtId="0" fontId="0" fillId="0" borderId="22" xfId="0" applyBorder="1"/>
    <xf numFmtId="167" fontId="4" fillId="4" borderId="48" xfId="0" applyNumberFormat="1" applyFont="1" applyFill="1" applyBorder="1"/>
    <xf numFmtId="0" fontId="4" fillId="4" borderId="43" xfId="0" applyFont="1" applyFill="1" applyBorder="1"/>
    <xf numFmtId="0" fontId="0" fillId="0" borderId="49" xfId="0" applyBorder="1"/>
    <xf numFmtId="167" fontId="5" fillId="0" borderId="0" xfId="1" applyNumberFormat="1" applyFont="1" applyBorder="1"/>
    <xf numFmtId="167" fontId="0" fillId="2" borderId="0" xfId="0" applyNumberFormat="1" applyFill="1"/>
    <xf numFmtId="167" fontId="0" fillId="0" borderId="14" xfId="0" applyNumberFormat="1" applyBorder="1"/>
    <xf numFmtId="167" fontId="0" fillId="0" borderId="30" xfId="0" applyNumberFormat="1" applyBorder="1"/>
    <xf numFmtId="168" fontId="0" fillId="0" borderId="0" xfId="0" applyNumberFormat="1"/>
    <xf numFmtId="168" fontId="4" fillId="0" borderId="0" xfId="0" applyNumberFormat="1" applyFont="1"/>
    <xf numFmtId="0" fontId="4" fillId="5" borderId="18" xfId="0" applyFont="1" applyFill="1" applyBorder="1"/>
    <xf numFmtId="169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8" fontId="0" fillId="0" borderId="0" xfId="0" applyNumberFormat="1"/>
    <xf numFmtId="8" fontId="10" fillId="0" borderId="0" xfId="0" applyNumberFormat="1" applyFont="1"/>
    <xf numFmtId="167" fontId="4" fillId="6" borderId="0" xfId="1" applyNumberFormat="1" applyFont="1" applyFill="1"/>
    <xf numFmtId="0" fontId="12" fillId="0" borderId="42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5" borderId="50" xfId="0" applyFont="1" applyFill="1" applyBorder="1" applyAlignment="1">
      <alignment horizontal="center"/>
    </xf>
    <xf numFmtId="0" fontId="4" fillId="14" borderId="6" xfId="0" applyFont="1" applyFill="1" applyBorder="1" applyAlignment="1">
      <alignment horizontal="center"/>
    </xf>
    <xf numFmtId="0" fontId="4" fillId="14" borderId="7" xfId="0" applyFont="1" applyFill="1" applyBorder="1" applyAlignment="1">
      <alignment horizontal="center"/>
    </xf>
    <xf numFmtId="0" fontId="4" fillId="14" borderId="8" xfId="0" applyFont="1" applyFill="1" applyBorder="1" applyAlignment="1">
      <alignment horizontal="center"/>
    </xf>
    <xf numFmtId="168" fontId="0" fillId="0" borderId="13" xfId="0" applyNumberFormat="1" applyBorder="1"/>
    <xf numFmtId="168" fontId="0" fillId="0" borderId="25" xfId="0" applyNumberFormat="1" applyBorder="1"/>
    <xf numFmtId="168" fontId="0" fillId="0" borderId="14" xfId="0" applyNumberFormat="1" applyBorder="1"/>
    <xf numFmtId="168" fontId="0" fillId="0" borderId="26" xfId="0" applyNumberFormat="1" applyBorder="1"/>
    <xf numFmtId="168" fontId="0" fillId="0" borderId="27" xfId="0" applyNumberFormat="1" applyBorder="1"/>
    <xf numFmtId="168" fontId="0" fillId="0" borderId="28" xfId="0" applyNumberFormat="1" applyBorder="1"/>
    <xf numFmtId="168" fontId="0" fillId="0" borderId="29" xfId="0" applyNumberFormat="1" applyBorder="1"/>
    <xf numFmtId="168" fontId="0" fillId="0" borderId="30" xfId="0" applyNumberFormat="1" applyBorder="1"/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0" fillId="0" borderId="51" xfId="0" applyBorder="1"/>
    <xf numFmtId="168" fontId="0" fillId="0" borderId="51" xfId="1" applyNumberFormat="1" applyFont="1" applyBorder="1"/>
    <xf numFmtId="168" fontId="0" fillId="0" borderId="7" xfId="1" applyNumberFormat="1" applyFont="1" applyBorder="1"/>
    <xf numFmtId="0" fontId="0" fillId="0" borderId="8" xfId="0" applyBorder="1"/>
    <xf numFmtId="0" fontId="4" fillId="6" borderId="15" xfId="0" applyFont="1" applyFill="1" applyBorder="1" applyAlignment="1">
      <alignment horizontal="center" vertical="center"/>
    </xf>
    <xf numFmtId="168" fontId="0" fillId="14" borderId="26" xfId="0" applyNumberFormat="1" applyFill="1" applyBorder="1"/>
    <xf numFmtId="168" fontId="0" fillId="14" borderId="28" xfId="0" applyNumberFormat="1" applyFill="1" applyBorder="1"/>
    <xf numFmtId="0" fontId="0" fillId="0" borderId="0" xfId="0" applyAlignment="1">
      <alignment wrapText="1"/>
    </xf>
    <xf numFmtId="6" fontId="0" fillId="0" borderId="0" xfId="0" quotePrefix="1" applyNumberFormat="1"/>
    <xf numFmtId="167" fontId="4" fillId="0" borderId="30" xfId="0" applyNumberFormat="1" applyFont="1" applyBorder="1"/>
    <xf numFmtId="0" fontId="9" fillId="7" borderId="15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44" fontId="7" fillId="6" borderId="15" xfId="1" applyFont="1" applyFill="1" applyBorder="1" applyAlignment="1">
      <alignment horizontal="center" vertical="center"/>
    </xf>
    <xf numFmtId="44" fontId="7" fillId="6" borderId="16" xfId="1" applyFont="1" applyFill="1" applyBorder="1" applyAlignment="1">
      <alignment horizontal="center" vertical="center"/>
    </xf>
    <xf numFmtId="44" fontId="7" fillId="8" borderId="15" xfId="1" applyFont="1" applyFill="1" applyBorder="1" applyAlignment="1">
      <alignment horizontal="center" vertical="center"/>
    </xf>
    <xf numFmtId="44" fontId="7" fillId="8" borderId="16" xfId="1" applyFont="1" applyFill="1" applyBorder="1" applyAlignment="1">
      <alignment horizontal="center" vertical="center"/>
    </xf>
    <xf numFmtId="44" fontId="8" fillId="11" borderId="5" xfId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14" borderId="34" xfId="0" applyFont="1" applyFill="1" applyBorder="1" applyAlignment="1">
      <alignment horizontal="center"/>
    </xf>
    <xf numFmtId="0" fontId="4" fillId="14" borderId="35" xfId="0" applyFont="1" applyFill="1" applyBorder="1" applyAlignment="1">
      <alignment horizontal="center"/>
    </xf>
    <xf numFmtId="0" fontId="4" fillId="14" borderId="32" xfId="0" applyFon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8">
    <dxf>
      <fill>
        <patternFill>
          <bgColor theme="4" tint="0.79998168889431442"/>
        </patternFill>
      </fill>
      <border>
        <bottom style="thin">
          <color theme="0" tint="-0.14996795556505021"/>
        </bottom>
        <vertical/>
        <horizontal/>
      </border>
    </dxf>
    <dxf>
      <fill>
        <patternFill>
          <bgColor theme="5" tint="0.79998168889431442"/>
        </patternFill>
      </fill>
      <border>
        <bottom style="thin">
          <color theme="0" tint="-0.14996795556505021"/>
        </bottom>
        <vertical/>
        <horizontal/>
      </border>
    </dxf>
    <dxf>
      <fill>
        <patternFill>
          <bgColor theme="9" tint="0.79998168889431442"/>
        </patternFill>
      </fill>
      <border>
        <bottom style="thin">
          <color theme="0" tint="-0.1499679555650502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66" formatCode="ddd\ dd/mm/yyyy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ck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190499</xdr:rowOff>
        </xdr:from>
        <xdr:to>
          <xdr:col>0</xdr:col>
          <xdr:colOff>7893504</xdr:colOff>
          <xdr:row>3</xdr:row>
          <xdr:rowOff>200025</xdr:rowOff>
        </xdr:to>
        <xdr:pic>
          <xdr:nvPicPr>
            <xdr:cNvPr id="3" name="Imagen 2">
              <a:extLst>
                <a:ext uri="{FF2B5EF4-FFF2-40B4-BE49-F238E27FC236}">
                  <a16:creationId xmlns:a16="http://schemas.microsoft.com/office/drawing/2014/main" id="{6F42DAA5-A864-EC56-F9ED-DBDC410A6EE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2:$G$3" spid="_x0000_s37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911678"/>
              <a:ext cx="8445954" cy="13158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F50262-25FD-4BA6-9C91-99BF88AD9EDF}" name="tMov" displayName="tMov" ref="B5:F637" totalsRowShown="0" headerRowDxfId="7" headerRowBorderDxfId="6" tableBorderDxfId="5">
  <autoFilter ref="B5:F637" xr:uid="{97F50262-25FD-4BA6-9C91-99BF88AD9EDF}"/>
  <tableColumns count="5">
    <tableColumn id="1" xr3:uid="{2F40B902-ACE5-4E39-869F-B26DED3201E7}" name="Fecha" dataDxfId="4"/>
    <tableColumn id="2" xr3:uid="{7D46D312-33EB-44CE-A179-0475D557B920}" name="Subcategoria"/>
    <tableColumn id="3" xr3:uid="{37E44303-6716-4D8F-8B53-F23BA4A641E5}" name="Detalle"/>
    <tableColumn id="4" xr3:uid="{491882E0-6A49-4133-9EFE-5C10299587CB}" name="Medio"/>
    <tableColumn id="5" xr3:uid="{DED45F87-88D0-4DE6-96F0-A9618C3AD6E6}" name="Valor" dataCellStyle="Mon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aleta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6D29B"/>
      </a:accent1>
      <a:accent2>
        <a:srgbClr val="FA1982"/>
      </a:accent2>
      <a:accent3>
        <a:srgbClr val="F0EB41"/>
      </a:accent3>
      <a:accent4>
        <a:srgbClr val="F5B919"/>
      </a:accent4>
      <a:accent5>
        <a:srgbClr val="23D7F0"/>
      </a:accent5>
      <a:accent6>
        <a:srgbClr val="113B75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F266E-F53C-47EB-8E05-D77090FCD5C3}">
  <sheetPr codeName="Hoja2">
    <tabColor theme="9" tint="-0.499984740745262"/>
  </sheetPr>
  <dimension ref="A1:AK637"/>
  <sheetViews>
    <sheetView showGridLines="0" tabSelected="1" zoomScale="115" zoomScaleNormal="115" workbookViewId="0">
      <pane ySplit="5" topLeftCell="A559" activePane="bottomLeft" state="frozen"/>
      <selection activeCell="E8" sqref="E8"/>
      <selection pane="bottomLeft" activeCell="M573" sqref="M573:M574"/>
    </sheetView>
  </sheetViews>
  <sheetFormatPr baseColWidth="10" defaultColWidth="11.42578125" defaultRowHeight="15" x14ac:dyDescent="0.25"/>
  <cols>
    <col min="1" max="1" width="2.85546875" customWidth="1"/>
    <col min="2" max="2" width="16.140625" customWidth="1"/>
    <col min="3" max="3" width="13.7109375" customWidth="1"/>
    <col min="4" max="4" width="21.7109375" customWidth="1"/>
    <col min="5" max="5" width="15.85546875" hidden="1" customWidth="1"/>
    <col min="6" max="6" width="15.85546875" customWidth="1"/>
    <col min="7" max="7" width="2.85546875" customWidth="1"/>
    <col min="8" max="8" width="14.7109375" customWidth="1"/>
    <col min="9" max="9" width="15.140625" customWidth="1"/>
    <col min="10" max="10" width="15.5703125" style="57" bestFit="1" customWidth="1"/>
    <col min="11" max="11" width="13.28515625" customWidth="1"/>
    <col min="12" max="12" width="11.85546875" customWidth="1"/>
    <col min="13" max="13" width="14.85546875" bestFit="1" customWidth="1"/>
    <col min="14" max="14" width="14.28515625" customWidth="1"/>
    <col min="15" max="15" width="14.140625" customWidth="1"/>
    <col min="16" max="16" width="14.85546875" bestFit="1" customWidth="1"/>
    <col min="17" max="17" width="14.85546875" customWidth="1"/>
    <col min="18" max="18" width="12.85546875" customWidth="1"/>
    <col min="19" max="19" width="11.7109375" customWidth="1"/>
    <col min="20" max="21" width="12.42578125" customWidth="1"/>
    <col min="22" max="23" width="13.5703125" customWidth="1"/>
    <col min="24" max="24" width="13" bestFit="1" customWidth="1"/>
    <col min="25" max="25" width="11.7109375" customWidth="1"/>
    <col min="26" max="26" width="14.42578125" customWidth="1"/>
    <col min="27" max="28" width="11.7109375" customWidth="1"/>
    <col min="29" max="29" width="2.7109375" customWidth="1"/>
    <col min="30" max="30" width="14.42578125" customWidth="1"/>
    <col min="31" max="31" width="8" customWidth="1"/>
    <col min="33" max="33" width="7.28515625" customWidth="1"/>
    <col min="35" max="35" width="14.5703125" customWidth="1"/>
  </cols>
  <sheetData>
    <row r="1" spans="1:37" ht="35.1" customHeight="1" thickBot="1" x14ac:dyDescent="0.3">
      <c r="A1" s="1"/>
      <c r="B1" s="3" t="s">
        <v>0</v>
      </c>
      <c r="C1" s="1"/>
      <c r="D1" s="1"/>
      <c r="E1" s="1"/>
      <c r="F1" s="1"/>
      <c r="G1" s="1"/>
      <c r="H1" s="1"/>
      <c r="I1" s="1"/>
      <c r="J1" s="162"/>
      <c r="K1" s="1"/>
      <c r="L1" s="1"/>
      <c r="M1" s="1"/>
      <c r="N1" s="1"/>
      <c r="O1" s="1"/>
      <c r="P1" s="12"/>
      <c r="Q1" s="12"/>
      <c r="R1" s="203" t="s">
        <v>1</v>
      </c>
      <c r="S1" s="204"/>
      <c r="T1" s="204"/>
      <c r="U1" s="204"/>
      <c r="V1" s="204"/>
      <c r="W1" s="204"/>
      <c r="X1" s="204"/>
      <c r="Y1" s="204"/>
      <c r="Z1" s="204"/>
      <c r="AA1" s="204"/>
      <c r="AB1" s="205"/>
      <c r="AD1" s="13" t="s">
        <v>2</v>
      </c>
      <c r="AE1" s="53">
        <f>+R2</f>
        <v>46139</v>
      </c>
      <c r="AF1" s="52"/>
      <c r="AG1" s="52"/>
    </row>
    <row r="2" spans="1:37" ht="16.5" thickBot="1" x14ac:dyDescent="0.3">
      <c r="P2" s="12"/>
      <c r="Q2" s="12"/>
      <c r="R2" s="42">
        <v>46139</v>
      </c>
      <c r="S2" s="43">
        <f>+R2</f>
        <v>46139</v>
      </c>
      <c r="T2" s="44">
        <f>+R2+1</f>
        <v>46140</v>
      </c>
      <c r="U2" s="44">
        <f>+T2</f>
        <v>46140</v>
      </c>
      <c r="V2" s="30">
        <f>+T2+1</f>
        <v>46141</v>
      </c>
      <c r="W2" s="30">
        <f>+U2+1</f>
        <v>46141</v>
      </c>
      <c r="X2" s="49">
        <f>+V2+1</f>
        <v>46142</v>
      </c>
      <c r="Y2" s="49">
        <f>+W2+1</f>
        <v>46142</v>
      </c>
      <c r="Z2" s="45">
        <f>+X2+1</f>
        <v>46143</v>
      </c>
      <c r="AA2" s="45">
        <f>+Z2</f>
        <v>46143</v>
      </c>
      <c r="AB2" s="46" t="s">
        <v>3</v>
      </c>
      <c r="AD2" s="213" t="s">
        <v>4</v>
      </c>
      <c r="AE2" s="213"/>
      <c r="AF2" s="212">
        <v>7000</v>
      </c>
      <c r="AG2" s="212"/>
    </row>
    <row r="3" spans="1:37" ht="15.75" thickBot="1" x14ac:dyDescent="0.3">
      <c r="F3" t="s">
        <v>5</v>
      </c>
      <c r="H3" s="11"/>
      <c r="Q3" s="14" t="s">
        <v>6</v>
      </c>
      <c r="R3" s="15">
        <v>0.34097222222222223</v>
      </c>
      <c r="S3" s="39"/>
      <c r="T3" s="16">
        <v>0.34513888888888888</v>
      </c>
      <c r="U3" s="16"/>
      <c r="V3" s="16">
        <v>0.34097222222222223</v>
      </c>
      <c r="W3" s="16">
        <v>0.72222222222222221</v>
      </c>
      <c r="X3" s="16">
        <v>0.34166666666666667</v>
      </c>
      <c r="Y3" s="47"/>
      <c r="Z3" s="16"/>
      <c r="AA3" s="17"/>
      <c r="AB3" s="17"/>
      <c r="AD3" s="206" t="s">
        <v>7</v>
      </c>
      <c r="AE3" s="207"/>
      <c r="AF3" s="206" t="s">
        <v>8</v>
      </c>
      <c r="AG3" s="207"/>
    </row>
    <row r="4" spans="1:37" ht="15.75" thickBot="1" x14ac:dyDescent="0.3">
      <c r="B4" s="2" t="s">
        <v>9</v>
      </c>
      <c r="H4" t="s">
        <v>10</v>
      </c>
      <c r="Q4" s="14" t="s">
        <v>11</v>
      </c>
      <c r="R4" s="18">
        <v>0.60972222222222228</v>
      </c>
      <c r="S4" s="40"/>
      <c r="T4" s="19">
        <v>0.62847222222222221</v>
      </c>
      <c r="U4" s="19"/>
      <c r="V4" s="19">
        <v>0.62430555555555556</v>
      </c>
      <c r="W4" s="19">
        <v>0.81041666666666667</v>
      </c>
      <c r="X4" s="19">
        <v>0.62708333333333333</v>
      </c>
      <c r="Y4" s="48"/>
      <c r="Z4" s="19"/>
      <c r="AA4" s="20"/>
      <c r="AB4" s="20"/>
      <c r="AD4" s="208">
        <f>ROUNDUP(AF2*AE5,-3)</f>
        <v>204000</v>
      </c>
      <c r="AE4" s="209"/>
      <c r="AF4" s="210">
        <f>+AD4*4</f>
        <v>816000</v>
      </c>
      <c r="AG4" s="211"/>
    </row>
    <row r="5" spans="1:37" s="7" customFormat="1" ht="15.75" thickBot="1" x14ac:dyDescent="0.3">
      <c r="B5" s="4" t="s">
        <v>12</v>
      </c>
      <c r="C5" s="4" t="s">
        <v>13</v>
      </c>
      <c r="D5" s="4" t="s">
        <v>14</v>
      </c>
      <c r="E5" s="4" t="s">
        <v>15</v>
      </c>
      <c r="F5" s="4" t="s">
        <v>16</v>
      </c>
      <c r="H5" s="50">
        <f>+AD4</f>
        <v>204000</v>
      </c>
      <c r="J5" s="85" t="s">
        <v>17</v>
      </c>
      <c r="R5" s="22">
        <f t="shared" ref="R5:AA5" si="0">+(R4*24)-(R3*24)</f>
        <v>6.4500000000000011</v>
      </c>
      <c r="S5" s="23">
        <f t="shared" si="0"/>
        <v>0</v>
      </c>
      <c r="T5" s="23">
        <f t="shared" si="0"/>
        <v>6.7999999999999989</v>
      </c>
      <c r="U5" s="23">
        <f t="shared" si="0"/>
        <v>0</v>
      </c>
      <c r="V5" s="23">
        <f t="shared" si="0"/>
        <v>6.8000000000000007</v>
      </c>
      <c r="W5" s="23">
        <f t="shared" si="0"/>
        <v>2.1166666666666671</v>
      </c>
      <c r="X5" s="23">
        <f t="shared" si="0"/>
        <v>6.8500000000000014</v>
      </c>
      <c r="Y5" s="23">
        <f t="shared" si="0"/>
        <v>0</v>
      </c>
      <c r="Z5" s="23">
        <f t="shared" si="0"/>
        <v>0</v>
      </c>
      <c r="AA5" s="24">
        <f t="shared" si="0"/>
        <v>0</v>
      </c>
      <c r="AB5" s="41">
        <f>+AH7</f>
        <v>0</v>
      </c>
      <c r="AD5" s="38" t="s">
        <v>18</v>
      </c>
      <c r="AE5" s="21">
        <f>+SUM(R5:AB5)</f>
        <v>29.016666666666669</v>
      </c>
    </row>
    <row r="6" spans="1:37" ht="16.5" thickTop="1" thickBot="1" x14ac:dyDescent="0.3">
      <c r="B6" s="26">
        <v>45502</v>
      </c>
      <c r="C6" t="s">
        <v>19</v>
      </c>
      <c r="D6" t="s">
        <v>20</v>
      </c>
      <c r="E6" t="s">
        <v>21</v>
      </c>
      <c r="F6" s="6"/>
      <c r="AD6" s="12"/>
    </row>
    <row r="7" spans="1:37" ht="15.75" thickBot="1" x14ac:dyDescent="0.3">
      <c r="B7" s="26">
        <v>45502</v>
      </c>
      <c r="C7" t="s">
        <v>19</v>
      </c>
      <c r="D7" t="s">
        <v>20</v>
      </c>
      <c r="E7" t="s">
        <v>22</v>
      </c>
      <c r="F7" s="6"/>
      <c r="R7" s="149">
        <f>+R5*$AF$2</f>
        <v>45150.000000000007</v>
      </c>
      <c r="S7" s="149">
        <f t="shared" ref="S7:AB7" si="1">+S5*$AF$2</f>
        <v>0</v>
      </c>
      <c r="T7" s="149">
        <f t="shared" si="1"/>
        <v>47599.999999999993</v>
      </c>
      <c r="U7" s="149">
        <f t="shared" si="1"/>
        <v>0</v>
      </c>
      <c r="V7" s="149">
        <f t="shared" si="1"/>
        <v>47600.000000000007</v>
      </c>
      <c r="W7" s="149">
        <f t="shared" si="1"/>
        <v>14816.66666666667</v>
      </c>
      <c r="X7" s="149">
        <f t="shared" si="1"/>
        <v>47950.000000000007</v>
      </c>
      <c r="Y7" s="149">
        <f t="shared" si="1"/>
        <v>0</v>
      </c>
      <c r="Z7" s="149">
        <f t="shared" si="1"/>
        <v>0</v>
      </c>
      <c r="AA7" s="149">
        <f t="shared" si="1"/>
        <v>0</v>
      </c>
      <c r="AB7" s="149">
        <f t="shared" si="1"/>
        <v>0</v>
      </c>
      <c r="AD7" s="95" t="s">
        <v>23</v>
      </c>
      <c r="AH7" s="109">
        <f>+SUM(AI9:AI13)</f>
        <v>0</v>
      </c>
      <c r="AI7" s="9">
        <f>+AH7*AF2</f>
        <v>0</v>
      </c>
    </row>
    <row r="8" spans="1:37" ht="15.75" thickBot="1" x14ac:dyDescent="0.3">
      <c r="B8" s="26">
        <v>45502</v>
      </c>
      <c r="C8" t="s">
        <v>19</v>
      </c>
      <c r="D8" t="s">
        <v>20</v>
      </c>
      <c r="E8" t="s">
        <v>24</v>
      </c>
      <c r="F8" s="6"/>
      <c r="P8" s="12"/>
      <c r="Q8" s="12"/>
      <c r="R8" s="28"/>
      <c r="S8" s="28"/>
      <c r="T8" s="28"/>
      <c r="U8" s="28"/>
      <c r="V8" s="28"/>
      <c r="W8" s="28"/>
      <c r="X8" s="28"/>
      <c r="Y8" s="28"/>
      <c r="Z8" s="28"/>
      <c r="AA8" s="28"/>
      <c r="AB8" s="29"/>
      <c r="AD8" s="100" t="s">
        <v>25</v>
      </c>
      <c r="AE8" s="101" t="s">
        <v>26</v>
      </c>
      <c r="AF8" s="101" t="s">
        <v>27</v>
      </c>
      <c r="AG8" s="102"/>
      <c r="AH8" s="108" t="s">
        <v>28</v>
      </c>
    </row>
    <row r="9" spans="1:37" x14ac:dyDescent="0.25">
      <c r="B9" s="26">
        <v>45502</v>
      </c>
      <c r="C9" t="s">
        <v>19</v>
      </c>
      <c r="D9" t="s">
        <v>20</v>
      </c>
      <c r="E9" t="s">
        <v>29</v>
      </c>
      <c r="F9" s="6"/>
      <c r="R9" s="15"/>
      <c r="S9" s="39"/>
      <c r="T9" s="16"/>
      <c r="U9" s="16"/>
      <c r="V9" s="16"/>
      <c r="W9" s="16"/>
      <c r="X9" s="16"/>
      <c r="Y9" s="47"/>
      <c r="Z9" s="16"/>
      <c r="AA9" s="17"/>
      <c r="AB9" s="17"/>
      <c r="AD9" s="103" t="s">
        <v>30</v>
      </c>
      <c r="AE9" s="96">
        <v>0</v>
      </c>
      <c r="AF9" s="96">
        <v>45</v>
      </c>
      <c r="AG9" s="97"/>
      <c r="AH9" s="98" t="str">
        <f t="shared" ref="AH9:AH13" si="2">TEXT((AF9*AE9)/1440, "h:mm")</f>
        <v>0:00</v>
      </c>
      <c r="AI9" s="110">
        <f>+AH9*24</f>
        <v>0</v>
      </c>
    </row>
    <row r="10" spans="1:37" ht="15.75" thickBot="1" x14ac:dyDescent="0.3">
      <c r="B10" s="26">
        <v>45502</v>
      </c>
      <c r="C10" t="s">
        <v>19</v>
      </c>
      <c r="D10" t="s">
        <v>20</v>
      </c>
      <c r="E10" t="s">
        <v>24</v>
      </c>
      <c r="F10" s="6"/>
      <c r="R10" s="18"/>
      <c r="S10" s="40"/>
      <c r="T10" s="19"/>
      <c r="U10" s="19"/>
      <c r="V10" s="19"/>
      <c r="W10" s="19"/>
      <c r="X10" s="19"/>
      <c r="Y10" s="48"/>
      <c r="Z10" s="19"/>
      <c r="AA10" s="20"/>
      <c r="AB10" s="20"/>
      <c r="AD10" s="104" t="s">
        <v>31</v>
      </c>
      <c r="AE10" s="96">
        <v>0</v>
      </c>
      <c r="AF10" s="96">
        <v>20</v>
      </c>
      <c r="AG10" s="97"/>
      <c r="AH10" s="98" t="str">
        <f t="shared" si="2"/>
        <v>0:00</v>
      </c>
      <c r="AI10" s="110">
        <f t="shared" ref="AI10:AI13" si="3">+AH10*24</f>
        <v>0</v>
      </c>
      <c r="AK10" s="51"/>
    </row>
    <row r="11" spans="1:37" x14ac:dyDescent="0.25">
      <c r="B11" s="26">
        <v>45502</v>
      </c>
      <c r="C11" t="s">
        <v>19</v>
      </c>
      <c r="D11" t="s">
        <v>20</v>
      </c>
      <c r="E11" t="s">
        <v>32</v>
      </c>
      <c r="F11" s="6"/>
      <c r="R11" s="12"/>
      <c r="S11" s="12"/>
      <c r="X11" s="12"/>
      <c r="Y11" s="12"/>
      <c r="AD11" s="104" t="s">
        <v>33</v>
      </c>
      <c r="AE11" s="96">
        <v>0</v>
      </c>
      <c r="AF11" s="96">
        <v>20</v>
      </c>
      <c r="AG11" s="97"/>
      <c r="AH11" s="98" t="str">
        <f t="shared" si="2"/>
        <v>0:00</v>
      </c>
      <c r="AI11" s="110">
        <f t="shared" si="3"/>
        <v>0</v>
      </c>
    </row>
    <row r="12" spans="1:37" x14ac:dyDescent="0.25">
      <c r="B12" s="26">
        <v>45503</v>
      </c>
      <c r="C12" t="s">
        <v>34</v>
      </c>
      <c r="D12" t="s">
        <v>35</v>
      </c>
      <c r="E12" t="s">
        <v>29</v>
      </c>
      <c r="F12" s="6"/>
      <c r="AD12" s="104" t="s">
        <v>36</v>
      </c>
      <c r="AE12" s="96">
        <v>0</v>
      </c>
      <c r="AF12" s="96">
        <v>40</v>
      </c>
      <c r="AG12" s="97"/>
      <c r="AH12" s="98" t="str">
        <f t="shared" si="2"/>
        <v>0:00</v>
      </c>
      <c r="AI12" s="110">
        <f t="shared" si="3"/>
        <v>0</v>
      </c>
    </row>
    <row r="13" spans="1:37" ht="15.75" thickBot="1" x14ac:dyDescent="0.3">
      <c r="B13" s="26">
        <v>45503</v>
      </c>
      <c r="C13" t="s">
        <v>37</v>
      </c>
      <c r="D13" t="s">
        <v>38</v>
      </c>
      <c r="E13" t="s">
        <v>29</v>
      </c>
      <c r="F13" s="6"/>
      <c r="Z13" s="57"/>
      <c r="AD13" s="105" t="s">
        <v>39</v>
      </c>
      <c r="AE13" s="106">
        <v>0</v>
      </c>
      <c r="AF13" s="106">
        <v>30</v>
      </c>
      <c r="AG13" s="99"/>
      <c r="AH13" s="107" t="str">
        <f t="shared" si="2"/>
        <v>0:00</v>
      </c>
      <c r="AI13" s="110">
        <f t="shared" si="3"/>
        <v>0</v>
      </c>
    </row>
    <row r="14" spans="1:37" x14ac:dyDescent="0.25">
      <c r="B14" s="26">
        <v>45503</v>
      </c>
      <c r="C14" t="s">
        <v>40</v>
      </c>
      <c r="D14" t="s">
        <v>41</v>
      </c>
      <c r="E14" t="s">
        <v>22</v>
      </c>
      <c r="F14" s="6"/>
      <c r="S14" s="51"/>
    </row>
    <row r="15" spans="1:37" x14ac:dyDescent="0.25">
      <c r="B15" s="26">
        <v>45503</v>
      </c>
      <c r="C15" t="s">
        <v>37</v>
      </c>
      <c r="D15" t="s">
        <v>42</v>
      </c>
      <c r="E15" t="s">
        <v>21</v>
      </c>
      <c r="F15" s="6"/>
      <c r="S15" s="51"/>
    </row>
    <row r="16" spans="1:37" x14ac:dyDescent="0.25">
      <c r="B16" s="26">
        <v>45527</v>
      </c>
      <c r="C16" t="s">
        <v>43</v>
      </c>
      <c r="D16" s="5" t="s">
        <v>44</v>
      </c>
      <c r="E16" t="s">
        <v>21</v>
      </c>
      <c r="F16" s="25">
        <v>160000</v>
      </c>
    </row>
    <row r="17" spans="2:9" x14ac:dyDescent="0.25">
      <c r="B17" s="26">
        <v>45527</v>
      </c>
      <c r="C17" t="s">
        <v>43</v>
      </c>
      <c r="D17" s="5" t="s">
        <v>45</v>
      </c>
      <c r="E17" t="s">
        <v>21</v>
      </c>
      <c r="F17" s="6">
        <v>75000</v>
      </c>
    </row>
    <row r="18" spans="2:9" x14ac:dyDescent="0.25">
      <c r="B18" s="26">
        <v>45527</v>
      </c>
      <c r="C18" t="s">
        <v>43</v>
      </c>
      <c r="D18" s="5" t="s">
        <v>46</v>
      </c>
      <c r="E18" t="s">
        <v>21</v>
      </c>
      <c r="F18" s="6">
        <v>85000</v>
      </c>
    </row>
    <row r="19" spans="2:9" x14ac:dyDescent="0.25">
      <c r="B19" s="26">
        <v>45527</v>
      </c>
      <c r="C19" t="s">
        <v>43</v>
      </c>
      <c r="D19" s="5" t="s">
        <v>47</v>
      </c>
      <c r="E19" t="s">
        <v>21</v>
      </c>
      <c r="F19" s="6">
        <v>250000</v>
      </c>
    </row>
    <row r="20" spans="2:9" x14ac:dyDescent="0.25">
      <c r="B20" s="26">
        <v>45534</v>
      </c>
      <c r="C20" t="s">
        <v>43</v>
      </c>
      <c r="D20" s="33" t="s">
        <v>44</v>
      </c>
      <c r="E20" s="11" t="s">
        <v>21</v>
      </c>
      <c r="F20" s="6">
        <v>160000</v>
      </c>
    </row>
    <row r="21" spans="2:9" x14ac:dyDescent="0.25">
      <c r="B21" s="26">
        <v>45534</v>
      </c>
      <c r="C21" t="s">
        <v>43</v>
      </c>
      <c r="D21" s="33" t="s">
        <v>45</v>
      </c>
      <c r="E21" s="11" t="s">
        <v>21</v>
      </c>
      <c r="F21" s="6">
        <v>60000</v>
      </c>
      <c r="H21" t="s">
        <v>48</v>
      </c>
    </row>
    <row r="22" spans="2:9" x14ac:dyDescent="0.25">
      <c r="B22" s="26">
        <v>45534</v>
      </c>
      <c r="C22" t="s">
        <v>43</v>
      </c>
      <c r="D22" s="33" t="s">
        <v>46</v>
      </c>
      <c r="E22" s="11" t="s">
        <v>21</v>
      </c>
      <c r="F22" s="6">
        <v>105000</v>
      </c>
      <c r="H22" t="s">
        <v>48</v>
      </c>
    </row>
    <row r="23" spans="2:9" x14ac:dyDescent="0.25">
      <c r="B23" s="26">
        <v>45534</v>
      </c>
      <c r="C23" t="s">
        <v>43</v>
      </c>
      <c r="D23" s="33" t="s">
        <v>47</v>
      </c>
      <c r="E23" s="11" t="s">
        <v>21</v>
      </c>
      <c r="F23" s="25">
        <v>150000</v>
      </c>
      <c r="H23" t="s">
        <v>49</v>
      </c>
    </row>
    <row r="24" spans="2:9" x14ac:dyDescent="0.25">
      <c r="B24" s="26">
        <v>45534</v>
      </c>
      <c r="C24" t="s">
        <v>43</v>
      </c>
      <c r="D24" s="33" t="s">
        <v>50</v>
      </c>
      <c r="E24" s="11" t="s">
        <v>21</v>
      </c>
      <c r="F24" s="6">
        <v>266000</v>
      </c>
    </row>
    <row r="25" spans="2:9" x14ac:dyDescent="0.25">
      <c r="B25" s="26">
        <v>45534</v>
      </c>
      <c r="C25" t="s">
        <v>43</v>
      </c>
      <c r="D25" s="34" t="s">
        <v>51</v>
      </c>
      <c r="E25" s="11" t="s">
        <v>21</v>
      </c>
      <c r="F25" s="27">
        <v>550000</v>
      </c>
      <c r="H25">
        <f>+tMov[[#This Row],[Valor]]/2</f>
        <v>275000</v>
      </c>
    </row>
    <row r="26" spans="2:9" x14ac:dyDescent="0.25">
      <c r="B26" s="26">
        <v>45541</v>
      </c>
      <c r="C26" t="s">
        <v>43</v>
      </c>
      <c r="D26" s="31" t="s">
        <v>44</v>
      </c>
      <c r="E26" s="11" t="s">
        <v>21</v>
      </c>
      <c r="F26" s="6">
        <v>160000</v>
      </c>
    </row>
    <row r="27" spans="2:9" x14ac:dyDescent="0.25">
      <c r="B27" s="26">
        <v>45541</v>
      </c>
      <c r="C27" t="s">
        <v>43</v>
      </c>
      <c r="D27" s="31" t="s">
        <v>44</v>
      </c>
      <c r="E27" s="11" t="s">
        <v>21</v>
      </c>
      <c r="F27" s="6">
        <v>95000</v>
      </c>
    </row>
    <row r="28" spans="2:9" x14ac:dyDescent="0.25">
      <c r="B28" s="26">
        <v>45541</v>
      </c>
      <c r="C28" t="s">
        <v>43</v>
      </c>
      <c r="D28" s="31" t="s">
        <v>45</v>
      </c>
      <c r="E28" s="11" t="s">
        <v>21</v>
      </c>
      <c r="F28" s="6">
        <v>60000</v>
      </c>
    </row>
    <row r="29" spans="2:9" x14ac:dyDescent="0.25">
      <c r="B29" s="26">
        <v>45541</v>
      </c>
      <c r="C29" t="s">
        <v>43</v>
      </c>
      <c r="D29" s="31" t="s">
        <v>46</v>
      </c>
      <c r="E29" s="11" t="s">
        <v>21</v>
      </c>
      <c r="F29" s="6">
        <v>105000</v>
      </c>
    </row>
    <row r="30" spans="2:9" x14ac:dyDescent="0.25">
      <c r="B30" s="26">
        <v>45541</v>
      </c>
      <c r="C30" t="s">
        <v>43</v>
      </c>
      <c r="D30" s="31" t="s">
        <v>47</v>
      </c>
      <c r="E30" s="11" t="s">
        <v>21</v>
      </c>
      <c r="F30" s="25">
        <v>210000</v>
      </c>
    </row>
    <row r="31" spans="2:9" x14ac:dyDescent="0.25">
      <c r="B31" s="26">
        <v>45548</v>
      </c>
      <c r="C31" t="s">
        <v>43</v>
      </c>
      <c r="D31" s="32" t="s">
        <v>47</v>
      </c>
      <c r="E31" t="s">
        <v>21</v>
      </c>
      <c r="F31" s="27">
        <v>120000</v>
      </c>
      <c r="I31" s="6"/>
    </row>
    <row r="32" spans="2:9" x14ac:dyDescent="0.25">
      <c r="B32" s="26">
        <v>45548</v>
      </c>
      <c r="C32" t="s">
        <v>43</v>
      </c>
      <c r="D32" s="32" t="s">
        <v>44</v>
      </c>
      <c r="E32" t="s">
        <v>21</v>
      </c>
      <c r="F32" s="27">
        <f>160000-F33</f>
        <v>40000</v>
      </c>
    </row>
    <row r="33" spans="2:6" x14ac:dyDescent="0.25">
      <c r="B33" s="26">
        <v>45548</v>
      </c>
      <c r="C33" t="s">
        <v>43</v>
      </c>
      <c r="D33" s="32" t="s">
        <v>44</v>
      </c>
      <c r="E33" t="s">
        <v>21</v>
      </c>
      <c r="F33" s="27">
        <v>120000</v>
      </c>
    </row>
    <row r="34" spans="2:6" x14ac:dyDescent="0.25">
      <c r="B34" s="26">
        <v>45548</v>
      </c>
      <c r="C34" t="s">
        <v>43</v>
      </c>
      <c r="D34" s="32" t="s">
        <v>45</v>
      </c>
      <c r="E34" t="s">
        <v>21</v>
      </c>
      <c r="F34" s="27">
        <v>60000</v>
      </c>
    </row>
    <row r="35" spans="2:6" x14ac:dyDescent="0.25">
      <c r="B35" s="26">
        <v>45548</v>
      </c>
      <c r="C35" t="s">
        <v>43</v>
      </c>
      <c r="D35" s="32" t="s">
        <v>46</v>
      </c>
      <c r="E35" t="s">
        <v>21</v>
      </c>
      <c r="F35" s="27">
        <v>100000</v>
      </c>
    </row>
    <row r="36" spans="2:6" x14ac:dyDescent="0.25">
      <c r="B36" s="26">
        <v>45548</v>
      </c>
      <c r="C36" t="s">
        <v>43</v>
      </c>
      <c r="D36" s="32" t="s">
        <v>50</v>
      </c>
      <c r="E36" t="s">
        <v>21</v>
      </c>
      <c r="F36" s="35">
        <f>270000-F37</f>
        <v>162060</v>
      </c>
    </row>
    <row r="37" spans="2:6" x14ac:dyDescent="0.25">
      <c r="B37" s="26">
        <v>45548</v>
      </c>
      <c r="C37" t="s">
        <v>43</v>
      </c>
      <c r="D37" s="32" t="s">
        <v>50</v>
      </c>
      <c r="E37" t="s">
        <v>21</v>
      </c>
      <c r="F37" s="6">
        <v>107940</v>
      </c>
    </row>
    <row r="38" spans="2:6" x14ac:dyDescent="0.25">
      <c r="B38" s="26">
        <v>45555</v>
      </c>
      <c r="C38" t="s">
        <v>43</v>
      </c>
      <c r="D38" s="36" t="s">
        <v>47</v>
      </c>
      <c r="E38" t="s">
        <v>21</v>
      </c>
      <c r="F38" s="6">
        <f>80000+150000</f>
        <v>230000</v>
      </c>
    </row>
    <row r="39" spans="2:6" x14ac:dyDescent="0.25">
      <c r="B39" s="26">
        <v>45555</v>
      </c>
      <c r="C39" t="s">
        <v>43</v>
      </c>
      <c r="D39" s="36" t="s">
        <v>44</v>
      </c>
      <c r="E39" t="s">
        <v>21</v>
      </c>
      <c r="F39" s="6">
        <v>160000</v>
      </c>
    </row>
    <row r="40" spans="2:6" x14ac:dyDescent="0.25">
      <c r="B40" s="26">
        <v>45555</v>
      </c>
      <c r="C40" t="s">
        <v>43</v>
      </c>
      <c r="D40" s="36" t="s">
        <v>45</v>
      </c>
      <c r="E40" t="s">
        <v>21</v>
      </c>
      <c r="F40" s="6">
        <v>60000</v>
      </c>
    </row>
    <row r="41" spans="2:6" x14ac:dyDescent="0.25">
      <c r="B41" s="26">
        <v>45555</v>
      </c>
      <c r="C41" t="s">
        <v>43</v>
      </c>
      <c r="D41" s="36" t="s">
        <v>46</v>
      </c>
      <c r="E41" t="s">
        <v>21</v>
      </c>
      <c r="F41" s="6">
        <v>120000</v>
      </c>
    </row>
    <row r="42" spans="2:6" x14ac:dyDescent="0.25">
      <c r="B42" s="26">
        <v>45562</v>
      </c>
      <c r="C42" t="s">
        <v>43</v>
      </c>
      <c r="D42" s="32" t="s">
        <v>44</v>
      </c>
      <c r="E42" t="s">
        <v>21</v>
      </c>
      <c r="F42" s="27">
        <v>175000</v>
      </c>
    </row>
    <row r="43" spans="2:6" x14ac:dyDescent="0.25">
      <c r="B43" s="26">
        <v>45562</v>
      </c>
      <c r="C43" t="s">
        <v>43</v>
      </c>
      <c r="D43" s="32" t="s">
        <v>45</v>
      </c>
      <c r="E43" t="s">
        <v>21</v>
      </c>
      <c r="F43" s="6">
        <v>50000</v>
      </c>
    </row>
    <row r="44" spans="2:6" x14ac:dyDescent="0.25">
      <c r="B44" s="26">
        <v>45562</v>
      </c>
      <c r="C44" t="s">
        <v>43</v>
      </c>
      <c r="D44" s="32" t="s">
        <v>46</v>
      </c>
      <c r="E44" t="s">
        <v>21</v>
      </c>
      <c r="F44" s="6">
        <v>110000</v>
      </c>
    </row>
    <row r="45" spans="2:6" x14ac:dyDescent="0.25">
      <c r="B45" s="26">
        <v>45562</v>
      </c>
      <c r="C45" t="s">
        <v>43</v>
      </c>
      <c r="D45" s="32" t="s">
        <v>50</v>
      </c>
      <c r="E45" t="s">
        <v>21</v>
      </c>
      <c r="F45" s="27">
        <v>270000</v>
      </c>
    </row>
    <row r="46" spans="2:6" x14ac:dyDescent="0.25">
      <c r="B46" s="26">
        <v>45562</v>
      </c>
      <c r="C46" t="s">
        <v>43</v>
      </c>
      <c r="D46" s="32" t="s">
        <v>51</v>
      </c>
      <c r="E46" t="s">
        <v>21</v>
      </c>
      <c r="F46" s="27">
        <v>600000</v>
      </c>
    </row>
    <row r="47" spans="2:6" x14ac:dyDescent="0.25">
      <c r="B47" s="26">
        <v>45569</v>
      </c>
      <c r="C47" t="s">
        <v>43</v>
      </c>
      <c r="D47" s="36" t="s">
        <v>47</v>
      </c>
      <c r="E47" t="s">
        <v>21</v>
      </c>
      <c r="F47" s="6">
        <v>350000</v>
      </c>
    </row>
    <row r="48" spans="2:6" x14ac:dyDescent="0.25">
      <c r="B48" s="26">
        <v>45569</v>
      </c>
      <c r="C48" t="s">
        <v>43</v>
      </c>
      <c r="D48" s="36" t="s">
        <v>44</v>
      </c>
      <c r="E48" t="s">
        <v>21</v>
      </c>
      <c r="F48" s="6">
        <v>175000</v>
      </c>
    </row>
    <row r="49" spans="2:12" x14ac:dyDescent="0.25">
      <c r="B49" s="26">
        <v>45569</v>
      </c>
      <c r="C49" t="s">
        <v>43</v>
      </c>
      <c r="D49" s="36" t="s">
        <v>45</v>
      </c>
      <c r="E49" t="s">
        <v>21</v>
      </c>
      <c r="F49" s="6">
        <v>90000</v>
      </c>
    </row>
    <row r="50" spans="2:12" x14ac:dyDescent="0.25">
      <c r="B50" s="26">
        <v>45569</v>
      </c>
      <c r="C50" t="s">
        <v>43</v>
      </c>
      <c r="D50" s="36" t="s">
        <v>46</v>
      </c>
      <c r="E50" t="s">
        <v>21</v>
      </c>
      <c r="F50" s="6">
        <v>100000</v>
      </c>
    </row>
    <row r="51" spans="2:12" x14ac:dyDescent="0.25">
      <c r="B51" s="26">
        <v>45575</v>
      </c>
      <c r="C51" t="s">
        <v>43</v>
      </c>
      <c r="D51" s="32" t="s">
        <v>44</v>
      </c>
      <c r="E51" t="s">
        <v>21</v>
      </c>
      <c r="F51" s="6">
        <v>187500</v>
      </c>
      <c r="I51" s="9"/>
    </row>
    <row r="52" spans="2:12" x14ac:dyDescent="0.25">
      <c r="B52" s="26">
        <v>45575</v>
      </c>
      <c r="C52" t="s">
        <v>43</v>
      </c>
      <c r="D52" s="32" t="s">
        <v>45</v>
      </c>
      <c r="E52" t="s">
        <v>21</v>
      </c>
      <c r="F52" s="6">
        <v>80000</v>
      </c>
    </row>
    <row r="53" spans="2:12" x14ac:dyDescent="0.25">
      <c r="B53" s="26">
        <v>45575</v>
      </c>
      <c r="C53" t="s">
        <v>43</v>
      </c>
      <c r="D53" s="32" t="s">
        <v>46</v>
      </c>
      <c r="E53" t="s">
        <v>21</v>
      </c>
      <c r="F53" s="6">
        <v>90000</v>
      </c>
      <c r="J53" s="55"/>
    </row>
    <row r="54" spans="2:12" x14ac:dyDescent="0.25">
      <c r="B54" s="26">
        <v>45575</v>
      </c>
      <c r="C54" t="s">
        <v>43</v>
      </c>
      <c r="D54" s="32" t="s">
        <v>50</v>
      </c>
      <c r="E54" t="s">
        <v>21</v>
      </c>
      <c r="F54" s="6">
        <v>315000</v>
      </c>
      <c r="I54" s="6"/>
    </row>
    <row r="55" spans="2:12" x14ac:dyDescent="0.25">
      <c r="B55" s="26">
        <v>45575</v>
      </c>
      <c r="C55" t="s">
        <v>43</v>
      </c>
      <c r="D55" s="32" t="s">
        <v>52</v>
      </c>
      <c r="E55" t="s">
        <v>21</v>
      </c>
      <c r="F55" s="6">
        <v>220000</v>
      </c>
    </row>
    <row r="56" spans="2:12" x14ac:dyDescent="0.25">
      <c r="B56" s="26">
        <v>45583</v>
      </c>
      <c r="C56" t="s">
        <v>43</v>
      </c>
      <c r="D56" s="36" t="s">
        <v>44</v>
      </c>
      <c r="E56" t="s">
        <v>21</v>
      </c>
      <c r="F56" s="6">
        <v>175000</v>
      </c>
      <c r="H56" s="9"/>
      <c r="J56" s="55"/>
      <c r="L56" s="9"/>
    </row>
    <row r="57" spans="2:12" x14ac:dyDescent="0.25">
      <c r="B57" s="26">
        <v>45583</v>
      </c>
      <c r="C57" t="s">
        <v>43</v>
      </c>
      <c r="D57" s="36" t="s">
        <v>45</v>
      </c>
      <c r="E57" t="s">
        <v>21</v>
      </c>
      <c r="F57" s="6">
        <v>65000</v>
      </c>
    </row>
    <row r="58" spans="2:12" x14ac:dyDescent="0.25">
      <c r="B58" s="26">
        <v>45583</v>
      </c>
      <c r="C58" t="s">
        <v>43</v>
      </c>
      <c r="D58" s="36" t="s">
        <v>46</v>
      </c>
      <c r="E58" t="s">
        <v>21</v>
      </c>
      <c r="F58" s="6">
        <v>100000</v>
      </c>
    </row>
    <row r="59" spans="2:12" x14ac:dyDescent="0.25">
      <c r="B59" s="26">
        <v>45583</v>
      </c>
      <c r="C59" t="s">
        <v>43</v>
      </c>
      <c r="D59" s="36" t="s">
        <v>47</v>
      </c>
      <c r="E59" t="s">
        <v>21</v>
      </c>
      <c r="F59" s="6">
        <v>350000</v>
      </c>
      <c r="H59" s="10" t="s">
        <v>53</v>
      </c>
    </row>
    <row r="60" spans="2:12" x14ac:dyDescent="0.25">
      <c r="B60" s="26">
        <v>45590</v>
      </c>
      <c r="C60" t="s">
        <v>43</v>
      </c>
      <c r="D60" s="32" t="s">
        <v>44</v>
      </c>
      <c r="E60" t="s">
        <v>21</v>
      </c>
      <c r="F60" s="37">
        <v>175000</v>
      </c>
      <c r="H60" s="6">
        <v>200000</v>
      </c>
    </row>
    <row r="61" spans="2:12" x14ac:dyDescent="0.25">
      <c r="B61" s="26">
        <v>45590</v>
      </c>
      <c r="C61" t="s">
        <v>43</v>
      </c>
      <c r="D61" s="32" t="s">
        <v>45</v>
      </c>
      <c r="E61" t="s">
        <v>21</v>
      </c>
      <c r="F61" s="37">
        <v>71000</v>
      </c>
    </row>
    <row r="62" spans="2:12" x14ac:dyDescent="0.25">
      <c r="B62" s="26">
        <v>45590</v>
      </c>
      <c r="C62" t="s">
        <v>43</v>
      </c>
      <c r="D62" s="32" t="s">
        <v>46</v>
      </c>
      <c r="E62" t="s">
        <v>21</v>
      </c>
      <c r="F62" s="37">
        <v>145000</v>
      </c>
    </row>
    <row r="63" spans="2:12" x14ac:dyDescent="0.25">
      <c r="B63" s="26">
        <v>45590</v>
      </c>
      <c r="C63" t="s">
        <v>43</v>
      </c>
      <c r="D63" s="32" t="s">
        <v>50</v>
      </c>
      <c r="E63" t="s">
        <v>21</v>
      </c>
      <c r="F63" s="37">
        <v>315000</v>
      </c>
      <c r="H63" s="6">
        <v>350000</v>
      </c>
      <c r="I63" s="27"/>
    </row>
    <row r="64" spans="2:12" x14ac:dyDescent="0.25">
      <c r="B64" s="26">
        <v>45590</v>
      </c>
      <c r="C64" t="s">
        <v>43</v>
      </c>
      <c r="D64" s="32" t="s">
        <v>52</v>
      </c>
      <c r="E64" t="s">
        <v>21</v>
      </c>
      <c r="F64" s="37">
        <v>220000</v>
      </c>
      <c r="H64" s="6">
        <v>300000</v>
      </c>
    </row>
    <row r="65" spans="2:10" x14ac:dyDescent="0.25">
      <c r="B65" s="26">
        <v>45597</v>
      </c>
      <c r="C65" t="s">
        <v>43</v>
      </c>
      <c r="D65" s="36" t="s">
        <v>44</v>
      </c>
      <c r="E65" t="s">
        <v>21</v>
      </c>
      <c r="F65" s="27">
        <v>200000</v>
      </c>
      <c r="I65" s="6"/>
    </row>
    <row r="66" spans="2:10" x14ac:dyDescent="0.25">
      <c r="B66" s="26">
        <v>45597</v>
      </c>
      <c r="C66" t="s">
        <v>43</v>
      </c>
      <c r="D66" s="36" t="s">
        <v>45</v>
      </c>
      <c r="E66" t="s">
        <v>21</v>
      </c>
      <c r="F66" s="6"/>
    </row>
    <row r="67" spans="2:10" x14ac:dyDescent="0.25">
      <c r="B67" s="26">
        <v>45597</v>
      </c>
      <c r="C67" t="s">
        <v>43</v>
      </c>
      <c r="D67" s="36" t="s">
        <v>46</v>
      </c>
      <c r="E67" t="s">
        <v>21</v>
      </c>
      <c r="F67" s="6"/>
    </row>
    <row r="68" spans="2:10" x14ac:dyDescent="0.25">
      <c r="B68" s="26">
        <v>45597</v>
      </c>
      <c r="C68" t="s">
        <v>43</v>
      </c>
      <c r="D68" s="36" t="s">
        <v>54</v>
      </c>
      <c r="E68" t="s">
        <v>21</v>
      </c>
      <c r="F68" s="27">
        <v>350000</v>
      </c>
    </row>
    <row r="69" spans="2:10" x14ac:dyDescent="0.25">
      <c r="B69" s="26">
        <v>45597</v>
      </c>
      <c r="C69" t="s">
        <v>43</v>
      </c>
      <c r="D69" s="36" t="s">
        <v>51</v>
      </c>
      <c r="E69" t="s">
        <v>21</v>
      </c>
      <c r="F69" s="37">
        <v>700000</v>
      </c>
      <c r="H69" s="6">
        <v>400000</v>
      </c>
      <c r="I69" t="s">
        <v>55</v>
      </c>
    </row>
    <row r="70" spans="2:10" x14ac:dyDescent="0.25">
      <c r="B70" s="26">
        <v>45604</v>
      </c>
      <c r="C70" t="s">
        <v>43</v>
      </c>
      <c r="D70" s="32" t="s">
        <v>44</v>
      </c>
      <c r="E70" t="s">
        <v>21</v>
      </c>
      <c r="F70" s="6">
        <v>200000</v>
      </c>
      <c r="H70" s="6">
        <v>124289</v>
      </c>
      <c r="J70" s="57">
        <f>+tMov[[#This Row],[Valor]]-H70</f>
        <v>75711</v>
      </c>
    </row>
    <row r="71" spans="2:10" x14ac:dyDescent="0.25">
      <c r="B71" s="26">
        <v>45604</v>
      </c>
      <c r="C71" t="s">
        <v>43</v>
      </c>
      <c r="D71" s="32" t="s">
        <v>45</v>
      </c>
      <c r="E71" t="s">
        <v>21</v>
      </c>
      <c r="F71" s="6">
        <v>80000</v>
      </c>
      <c r="H71" s="6"/>
    </row>
    <row r="72" spans="2:10" x14ac:dyDescent="0.25">
      <c r="B72" s="26">
        <v>45604</v>
      </c>
      <c r="C72" t="s">
        <v>43</v>
      </c>
      <c r="D72" s="32" t="s">
        <v>46</v>
      </c>
      <c r="E72" t="s">
        <v>21</v>
      </c>
      <c r="F72" s="6">
        <v>170000</v>
      </c>
      <c r="H72" s="6"/>
    </row>
    <row r="73" spans="2:10" x14ac:dyDescent="0.25">
      <c r="B73" s="26">
        <v>45604</v>
      </c>
      <c r="C73" t="s">
        <v>43</v>
      </c>
      <c r="D73" s="32" t="s">
        <v>50</v>
      </c>
      <c r="E73" t="s">
        <v>21</v>
      </c>
      <c r="F73" s="6">
        <v>350000</v>
      </c>
      <c r="H73" s="6">
        <v>170000</v>
      </c>
      <c r="J73" s="57">
        <f>+tMov[[#This Row],[Valor]]-H73</f>
        <v>180000</v>
      </c>
    </row>
    <row r="74" spans="2:10" x14ac:dyDescent="0.25">
      <c r="B74" s="26">
        <v>45604</v>
      </c>
      <c r="C74" t="s">
        <v>43</v>
      </c>
      <c r="D74" s="32" t="s">
        <v>52</v>
      </c>
      <c r="E74" t="s">
        <v>21</v>
      </c>
      <c r="F74" s="6">
        <v>300000</v>
      </c>
      <c r="H74" s="6"/>
    </row>
    <row r="75" spans="2:10" x14ac:dyDescent="0.25">
      <c r="B75" s="26">
        <f>+B74+7</f>
        <v>45611</v>
      </c>
      <c r="C75" t="s">
        <v>43</v>
      </c>
      <c r="D75" s="36" t="s">
        <v>44</v>
      </c>
      <c r="E75" t="s">
        <v>21</v>
      </c>
      <c r="F75" s="6">
        <f>116040+84000</f>
        <v>200040</v>
      </c>
      <c r="H75" s="6">
        <f>+F70-tMov[[#This Row],[Valor]]</f>
        <v>-40</v>
      </c>
      <c r="I75" t="s">
        <v>56</v>
      </c>
    </row>
    <row r="76" spans="2:10" x14ac:dyDescent="0.25">
      <c r="B76" s="26">
        <f>+B75</f>
        <v>45611</v>
      </c>
      <c r="C76" t="s">
        <v>43</v>
      </c>
      <c r="D76" s="36" t="s">
        <v>45</v>
      </c>
      <c r="E76" t="s">
        <v>21</v>
      </c>
      <c r="F76" s="6">
        <v>100000</v>
      </c>
    </row>
    <row r="77" spans="2:10" x14ac:dyDescent="0.25">
      <c r="B77" s="26">
        <f t="shared" ref="B77:B83" si="4">+B76</f>
        <v>45611</v>
      </c>
      <c r="C77" t="s">
        <v>43</v>
      </c>
      <c r="D77" s="36" t="s">
        <v>46</v>
      </c>
      <c r="E77" t="s">
        <v>21</v>
      </c>
      <c r="F77" s="6">
        <v>140000</v>
      </c>
    </row>
    <row r="78" spans="2:10" x14ac:dyDescent="0.25">
      <c r="B78" s="26">
        <f t="shared" si="4"/>
        <v>45611</v>
      </c>
      <c r="C78" t="s">
        <v>43</v>
      </c>
      <c r="D78" s="36" t="s">
        <v>51</v>
      </c>
      <c r="E78" t="s">
        <v>21</v>
      </c>
      <c r="F78" s="6">
        <f>121080+71760+136080+72000</f>
        <v>400920</v>
      </c>
      <c r="H78" s="9">
        <f>+tMov[[#This Row],[Valor]]-H69</f>
        <v>920</v>
      </c>
      <c r="I78" t="s">
        <v>56</v>
      </c>
    </row>
    <row r="79" spans="2:10" x14ac:dyDescent="0.25">
      <c r="B79" s="26">
        <f>+B78+7</f>
        <v>45618</v>
      </c>
      <c r="C79" t="s">
        <v>43</v>
      </c>
      <c r="D79" s="32" t="s">
        <v>44</v>
      </c>
      <c r="E79" t="s">
        <v>21</v>
      </c>
      <c r="F79" s="27">
        <v>200000</v>
      </c>
    </row>
    <row r="80" spans="2:10" x14ac:dyDescent="0.25">
      <c r="B80" s="26">
        <f t="shared" si="4"/>
        <v>45618</v>
      </c>
      <c r="C80" t="s">
        <v>43</v>
      </c>
      <c r="D80" s="32" t="s">
        <v>45</v>
      </c>
      <c r="E80" t="s">
        <v>21</v>
      </c>
      <c r="F80" s="27">
        <v>80000</v>
      </c>
    </row>
    <row r="81" spans="2:10" x14ac:dyDescent="0.25">
      <c r="B81" s="26">
        <f t="shared" si="4"/>
        <v>45618</v>
      </c>
      <c r="C81" t="s">
        <v>43</v>
      </c>
      <c r="D81" s="32" t="s">
        <v>46</v>
      </c>
      <c r="E81" t="s">
        <v>21</v>
      </c>
      <c r="F81" s="27">
        <v>120000</v>
      </c>
    </row>
    <row r="82" spans="2:10" x14ac:dyDescent="0.25">
      <c r="B82" s="26">
        <f t="shared" si="4"/>
        <v>45618</v>
      </c>
      <c r="C82" t="s">
        <v>43</v>
      </c>
      <c r="D82" s="32" t="s">
        <v>50</v>
      </c>
      <c r="E82" t="s">
        <v>21</v>
      </c>
      <c r="F82" s="6">
        <f>350000</f>
        <v>350000</v>
      </c>
    </row>
    <row r="83" spans="2:10" x14ac:dyDescent="0.25">
      <c r="B83" s="26">
        <f t="shared" si="4"/>
        <v>45618</v>
      </c>
      <c r="C83" t="s">
        <v>43</v>
      </c>
      <c r="D83" s="32" t="s">
        <v>52</v>
      </c>
      <c r="E83" t="s">
        <v>21</v>
      </c>
      <c r="F83" s="6">
        <v>300000</v>
      </c>
    </row>
    <row r="84" spans="2:10" x14ac:dyDescent="0.25">
      <c r="B84" s="26">
        <v>45625</v>
      </c>
      <c r="C84" t="s">
        <v>43</v>
      </c>
      <c r="D84" s="36" t="s">
        <v>44</v>
      </c>
      <c r="E84" t="s">
        <v>21</v>
      </c>
      <c r="F84" s="6">
        <v>200000</v>
      </c>
    </row>
    <row r="85" spans="2:10" x14ac:dyDescent="0.25">
      <c r="B85" s="26">
        <v>45625</v>
      </c>
      <c r="C85" t="s">
        <v>43</v>
      </c>
      <c r="D85" s="36" t="s">
        <v>45</v>
      </c>
      <c r="E85" t="s">
        <v>21</v>
      </c>
      <c r="F85" s="6">
        <v>75000</v>
      </c>
    </row>
    <row r="86" spans="2:10" x14ac:dyDescent="0.25">
      <c r="B86" s="26">
        <v>45625</v>
      </c>
      <c r="C86" t="s">
        <v>43</v>
      </c>
      <c r="D86" s="36" t="s">
        <v>46</v>
      </c>
      <c r="E86" t="s">
        <v>21</v>
      </c>
      <c r="F86" s="6">
        <f>232000</f>
        <v>232000</v>
      </c>
    </row>
    <row r="87" spans="2:10" x14ac:dyDescent="0.25">
      <c r="B87" s="26">
        <v>45625</v>
      </c>
      <c r="C87" t="s">
        <v>43</v>
      </c>
      <c r="D87" s="36" t="s">
        <v>51</v>
      </c>
      <c r="E87" t="s">
        <v>21</v>
      </c>
      <c r="F87" s="6">
        <v>400000</v>
      </c>
    </row>
    <row r="88" spans="2:10" x14ac:dyDescent="0.25">
      <c r="B88" s="26">
        <v>45625</v>
      </c>
      <c r="C88" t="s">
        <v>43</v>
      </c>
      <c r="D88" s="36" t="s">
        <v>57</v>
      </c>
      <c r="E88" t="s">
        <v>21</v>
      </c>
      <c r="F88" s="6">
        <v>170000</v>
      </c>
    </row>
    <row r="89" spans="2:10" x14ac:dyDescent="0.25">
      <c r="B89" s="26">
        <v>45632</v>
      </c>
      <c r="C89" t="s">
        <v>43</v>
      </c>
      <c r="D89" s="32" t="s">
        <v>44</v>
      </c>
      <c r="E89" t="s">
        <v>21</v>
      </c>
      <c r="F89" s="27">
        <v>200000</v>
      </c>
      <c r="H89" s="6">
        <v>120428</v>
      </c>
      <c r="I89" s="9">
        <f>+tMov[[#This Row],[Valor]]-H89</f>
        <v>79572</v>
      </c>
      <c r="J89" s="57" t="s">
        <v>58</v>
      </c>
    </row>
    <row r="90" spans="2:10" x14ac:dyDescent="0.25">
      <c r="B90" s="26">
        <v>45632</v>
      </c>
      <c r="C90" t="s">
        <v>43</v>
      </c>
      <c r="D90" s="32" t="s">
        <v>45</v>
      </c>
      <c r="E90" t="s">
        <v>21</v>
      </c>
      <c r="F90" s="27">
        <v>66000</v>
      </c>
      <c r="H90" t="s">
        <v>59</v>
      </c>
    </row>
    <row r="91" spans="2:10" x14ac:dyDescent="0.25">
      <c r="B91" s="26">
        <v>45632</v>
      </c>
      <c r="C91" t="s">
        <v>43</v>
      </c>
      <c r="D91" s="32" t="s">
        <v>46</v>
      </c>
      <c r="E91" t="s">
        <v>21</v>
      </c>
      <c r="F91" s="27">
        <v>181000</v>
      </c>
      <c r="H91" t="s">
        <v>59</v>
      </c>
    </row>
    <row r="92" spans="2:10" x14ac:dyDescent="0.25">
      <c r="B92" s="26">
        <v>45632</v>
      </c>
      <c r="C92" t="s">
        <v>43</v>
      </c>
      <c r="D92" s="32" t="s">
        <v>50</v>
      </c>
      <c r="E92" t="s">
        <v>21</v>
      </c>
      <c r="F92" s="6">
        <f>350000</f>
        <v>350000</v>
      </c>
    </row>
    <row r="93" spans="2:10" x14ac:dyDescent="0.25">
      <c r="B93" s="26">
        <v>45632</v>
      </c>
      <c r="C93" t="s">
        <v>43</v>
      </c>
      <c r="D93" s="32" t="s">
        <v>52</v>
      </c>
      <c r="E93" t="s">
        <v>21</v>
      </c>
      <c r="F93" s="6">
        <v>300000</v>
      </c>
      <c r="H93" s="6" t="s">
        <v>60</v>
      </c>
    </row>
    <row r="94" spans="2:10" x14ac:dyDescent="0.25">
      <c r="B94" s="26">
        <f>+B93+7</f>
        <v>45639</v>
      </c>
      <c r="C94" t="s">
        <v>43</v>
      </c>
      <c r="D94" s="36" t="s">
        <v>44</v>
      </c>
      <c r="E94" t="s">
        <v>21</v>
      </c>
      <c r="F94" s="6">
        <v>200000</v>
      </c>
    </row>
    <row r="95" spans="2:10" x14ac:dyDescent="0.25">
      <c r="B95" s="26">
        <f>+B94</f>
        <v>45639</v>
      </c>
      <c r="C95" t="s">
        <v>43</v>
      </c>
      <c r="D95" s="36" t="s">
        <v>45</v>
      </c>
      <c r="E95" t="s">
        <v>21</v>
      </c>
      <c r="F95" s="6">
        <v>70000</v>
      </c>
      <c r="H95" t="s">
        <v>61</v>
      </c>
    </row>
    <row r="96" spans="2:10" x14ac:dyDescent="0.25">
      <c r="B96" s="26">
        <f t="shared" ref="B96:B102" si="5">+B95</f>
        <v>45639</v>
      </c>
      <c r="C96" t="s">
        <v>43</v>
      </c>
      <c r="D96" s="36" t="s">
        <v>46</v>
      </c>
      <c r="E96" t="s">
        <v>21</v>
      </c>
      <c r="F96" s="6">
        <v>171000</v>
      </c>
      <c r="H96" t="s">
        <v>61</v>
      </c>
    </row>
    <row r="97" spans="2:8" x14ac:dyDescent="0.25">
      <c r="B97" s="26">
        <f t="shared" si="5"/>
        <v>45639</v>
      </c>
      <c r="C97" t="s">
        <v>43</v>
      </c>
      <c r="D97" s="36" t="s">
        <v>51</v>
      </c>
      <c r="E97" t="s">
        <v>21</v>
      </c>
      <c r="F97" s="6">
        <v>400000</v>
      </c>
      <c r="H97" s="6"/>
    </row>
    <row r="98" spans="2:8" x14ac:dyDescent="0.25">
      <c r="B98" s="26">
        <f>+B97+7</f>
        <v>45646</v>
      </c>
      <c r="C98" t="s">
        <v>43</v>
      </c>
      <c r="D98" s="32" t="s">
        <v>44</v>
      </c>
      <c r="E98" t="s">
        <v>21</v>
      </c>
      <c r="F98" s="6">
        <v>200000</v>
      </c>
    </row>
    <row r="99" spans="2:8" x14ac:dyDescent="0.25">
      <c r="B99" s="26">
        <f t="shared" si="5"/>
        <v>45646</v>
      </c>
      <c r="C99" t="s">
        <v>43</v>
      </c>
      <c r="D99" s="32" t="s">
        <v>45</v>
      </c>
      <c r="E99" t="s">
        <v>21</v>
      </c>
      <c r="F99" s="6"/>
    </row>
    <row r="100" spans="2:8" x14ac:dyDescent="0.25">
      <c r="B100" s="26">
        <f t="shared" si="5"/>
        <v>45646</v>
      </c>
      <c r="C100" t="s">
        <v>43</v>
      </c>
      <c r="D100" s="32" t="s">
        <v>46</v>
      </c>
      <c r="E100" t="s">
        <v>21</v>
      </c>
      <c r="F100" s="6"/>
    </row>
    <row r="101" spans="2:8" x14ac:dyDescent="0.25">
      <c r="B101" s="26">
        <f t="shared" si="5"/>
        <v>45646</v>
      </c>
      <c r="C101" t="s">
        <v>43</v>
      </c>
      <c r="D101" s="32" t="s">
        <v>50</v>
      </c>
      <c r="E101" t="s">
        <v>21</v>
      </c>
      <c r="F101" s="6">
        <f>350000</f>
        <v>350000</v>
      </c>
    </row>
    <row r="102" spans="2:8" x14ac:dyDescent="0.25">
      <c r="B102" s="26">
        <f t="shared" si="5"/>
        <v>45646</v>
      </c>
      <c r="C102" t="s">
        <v>43</v>
      </c>
      <c r="D102" s="32" t="s">
        <v>52</v>
      </c>
      <c r="E102" t="s">
        <v>21</v>
      </c>
      <c r="F102" s="6">
        <v>300000</v>
      </c>
    </row>
    <row r="103" spans="2:8" x14ac:dyDescent="0.25">
      <c r="B103" s="26">
        <f>+B102+7</f>
        <v>45653</v>
      </c>
      <c r="C103" t="s">
        <v>43</v>
      </c>
      <c r="D103" s="36" t="s">
        <v>44</v>
      </c>
      <c r="E103" t="s">
        <v>21</v>
      </c>
      <c r="F103" s="6">
        <v>200000</v>
      </c>
    </row>
    <row r="104" spans="2:8" x14ac:dyDescent="0.25">
      <c r="B104" s="26">
        <f>+B103+7</f>
        <v>45660</v>
      </c>
      <c r="C104" t="s">
        <v>43</v>
      </c>
      <c r="D104" s="36" t="s">
        <v>57</v>
      </c>
      <c r="E104" t="s">
        <v>21</v>
      </c>
      <c r="F104" s="6">
        <v>180000</v>
      </c>
    </row>
    <row r="105" spans="2:8" x14ac:dyDescent="0.25">
      <c r="B105" s="26">
        <f>+B103</f>
        <v>45653</v>
      </c>
      <c r="C105" t="s">
        <v>43</v>
      </c>
      <c r="D105" s="36" t="s">
        <v>45</v>
      </c>
      <c r="E105" t="s">
        <v>21</v>
      </c>
      <c r="F105" s="6">
        <v>70000</v>
      </c>
    </row>
    <row r="106" spans="2:8" x14ac:dyDescent="0.25">
      <c r="B106" s="26">
        <f t="shared" ref="B106:B107" si="6">+B105</f>
        <v>45653</v>
      </c>
      <c r="C106" t="s">
        <v>43</v>
      </c>
      <c r="D106" s="36" t="s">
        <v>46</v>
      </c>
      <c r="E106" t="s">
        <v>21</v>
      </c>
      <c r="F106" s="6">
        <v>140000</v>
      </c>
    </row>
    <row r="107" spans="2:8" x14ac:dyDescent="0.25">
      <c r="B107" s="26">
        <f t="shared" si="6"/>
        <v>45653</v>
      </c>
      <c r="C107" t="s">
        <v>43</v>
      </c>
      <c r="D107" s="36" t="s">
        <v>51</v>
      </c>
      <c r="E107" t="s">
        <v>21</v>
      </c>
      <c r="F107" s="6">
        <v>400000</v>
      </c>
      <c r="H107" s="6"/>
    </row>
    <row r="108" spans="2:8" x14ac:dyDescent="0.25">
      <c r="B108" s="26">
        <f>+B107+7</f>
        <v>45660</v>
      </c>
      <c r="C108" t="s">
        <v>43</v>
      </c>
      <c r="D108" s="32" t="s">
        <v>44</v>
      </c>
      <c r="E108" t="s">
        <v>21</v>
      </c>
      <c r="F108" s="6">
        <v>200000</v>
      </c>
      <c r="H108" s="6"/>
    </row>
    <row r="109" spans="2:8" x14ac:dyDescent="0.25">
      <c r="B109" s="26">
        <f>+B108</f>
        <v>45660</v>
      </c>
      <c r="C109" t="s">
        <v>43</v>
      </c>
      <c r="D109" s="32" t="s">
        <v>45</v>
      </c>
      <c r="E109" t="s">
        <v>21</v>
      </c>
      <c r="F109" s="6">
        <v>70000</v>
      </c>
      <c r="H109" s="6"/>
    </row>
    <row r="110" spans="2:8" x14ac:dyDescent="0.25">
      <c r="B110" s="26">
        <f t="shared" ref="B110:B136" si="7">+B109</f>
        <v>45660</v>
      </c>
      <c r="C110" t="s">
        <v>43</v>
      </c>
      <c r="D110" s="32" t="s">
        <v>46</v>
      </c>
      <c r="E110" t="s">
        <v>21</v>
      </c>
      <c r="F110" s="6">
        <v>110000</v>
      </c>
      <c r="H110" s="6"/>
    </row>
    <row r="111" spans="2:8" x14ac:dyDescent="0.25">
      <c r="B111" s="26">
        <f t="shared" si="7"/>
        <v>45660</v>
      </c>
      <c r="C111" t="s">
        <v>43</v>
      </c>
      <c r="D111" s="32" t="s">
        <v>50</v>
      </c>
      <c r="E111" t="s">
        <v>21</v>
      </c>
      <c r="F111" s="6">
        <v>350000</v>
      </c>
      <c r="H111" s="6"/>
    </row>
    <row r="112" spans="2:8" x14ac:dyDescent="0.25">
      <c r="B112" s="26">
        <f t="shared" si="7"/>
        <v>45660</v>
      </c>
      <c r="C112" t="s">
        <v>43</v>
      </c>
      <c r="D112" s="32" t="s">
        <v>52</v>
      </c>
      <c r="E112" t="s">
        <v>21</v>
      </c>
      <c r="F112" s="6">
        <v>300000</v>
      </c>
      <c r="H112" s="6"/>
    </row>
    <row r="113" spans="2:10" x14ac:dyDescent="0.25">
      <c r="B113" s="26">
        <f t="shared" si="7"/>
        <v>45660</v>
      </c>
      <c r="C113" t="s">
        <v>43</v>
      </c>
      <c r="D113" s="32" t="s">
        <v>57</v>
      </c>
      <c r="E113" t="s">
        <v>21</v>
      </c>
      <c r="F113" s="6">
        <v>180000</v>
      </c>
      <c r="H113" s="6"/>
    </row>
    <row r="114" spans="2:10" x14ac:dyDescent="0.25">
      <c r="B114" s="26">
        <f>+B113+7</f>
        <v>45667</v>
      </c>
      <c r="C114" t="s">
        <v>43</v>
      </c>
      <c r="D114" s="36" t="s">
        <v>44</v>
      </c>
      <c r="E114" t="s">
        <v>21</v>
      </c>
      <c r="F114" s="6">
        <v>275000</v>
      </c>
      <c r="H114" s="6"/>
    </row>
    <row r="115" spans="2:10" x14ac:dyDescent="0.25">
      <c r="B115" s="26">
        <f t="shared" si="7"/>
        <v>45667</v>
      </c>
      <c r="C115" t="s">
        <v>43</v>
      </c>
      <c r="D115" s="36" t="s">
        <v>57</v>
      </c>
      <c r="E115" t="s">
        <v>21</v>
      </c>
      <c r="F115" s="6">
        <v>200000</v>
      </c>
      <c r="H115" s="6"/>
    </row>
    <row r="116" spans="2:10" x14ac:dyDescent="0.25">
      <c r="B116" s="26">
        <f t="shared" si="7"/>
        <v>45667</v>
      </c>
      <c r="C116" t="s">
        <v>43</v>
      </c>
      <c r="D116" s="36" t="s">
        <v>45</v>
      </c>
      <c r="E116" t="s">
        <v>21</v>
      </c>
      <c r="F116" s="6">
        <v>139000</v>
      </c>
      <c r="H116" s="6"/>
    </row>
    <row r="117" spans="2:10" x14ac:dyDescent="0.25">
      <c r="B117" s="26">
        <f t="shared" si="7"/>
        <v>45667</v>
      </c>
      <c r="C117" t="s">
        <v>43</v>
      </c>
      <c r="D117" s="36" t="s">
        <v>51</v>
      </c>
      <c r="E117" t="s">
        <v>21</v>
      </c>
      <c r="F117" s="6">
        <v>475000</v>
      </c>
      <c r="H117" s="6" t="s">
        <v>62</v>
      </c>
    </row>
    <row r="118" spans="2:10" x14ac:dyDescent="0.25">
      <c r="B118" s="26">
        <f>+B117+7</f>
        <v>45674</v>
      </c>
      <c r="C118" t="s">
        <v>43</v>
      </c>
      <c r="D118" s="32" t="s">
        <v>44</v>
      </c>
      <c r="E118" t="s">
        <v>21</v>
      </c>
      <c r="F118" s="6">
        <v>200000</v>
      </c>
      <c r="H118" s="6"/>
    </row>
    <row r="119" spans="2:10" x14ac:dyDescent="0.25">
      <c r="B119" s="26">
        <f t="shared" si="7"/>
        <v>45674</v>
      </c>
      <c r="C119" t="s">
        <v>43</v>
      </c>
      <c r="D119" s="32" t="s">
        <v>45</v>
      </c>
      <c r="E119" t="s">
        <v>21</v>
      </c>
      <c r="F119" s="6">
        <v>125000</v>
      </c>
      <c r="H119" s="6"/>
    </row>
    <row r="120" spans="2:10" x14ac:dyDescent="0.25">
      <c r="B120" s="26">
        <f t="shared" si="7"/>
        <v>45674</v>
      </c>
      <c r="C120" t="s">
        <v>43</v>
      </c>
      <c r="D120" s="32" t="s">
        <v>63</v>
      </c>
      <c r="E120" t="s">
        <v>21</v>
      </c>
      <c r="F120" s="6"/>
      <c r="H120" s="6"/>
      <c r="I120" s="6"/>
      <c r="J120" s="55"/>
    </row>
    <row r="121" spans="2:10" x14ac:dyDescent="0.25">
      <c r="B121" s="26">
        <f t="shared" si="7"/>
        <v>45674</v>
      </c>
      <c r="C121" t="s">
        <v>43</v>
      </c>
      <c r="D121" s="32" t="s">
        <v>52</v>
      </c>
      <c r="E121" t="s">
        <v>21</v>
      </c>
      <c r="F121" s="6">
        <v>270000</v>
      </c>
      <c r="H121" s="6"/>
      <c r="I121" s="6"/>
      <c r="J121" s="55"/>
    </row>
    <row r="122" spans="2:10" x14ac:dyDescent="0.25">
      <c r="B122" s="26">
        <f t="shared" si="7"/>
        <v>45674</v>
      </c>
      <c r="C122" t="s">
        <v>43</v>
      </c>
      <c r="D122" s="32" t="s">
        <v>57</v>
      </c>
      <c r="E122" t="s">
        <v>21</v>
      </c>
      <c r="F122" s="6">
        <v>200000</v>
      </c>
      <c r="H122" s="6"/>
      <c r="I122" s="6"/>
      <c r="J122" s="55"/>
    </row>
    <row r="123" spans="2:10" x14ac:dyDescent="0.25">
      <c r="B123" s="26">
        <f>+B122+7</f>
        <v>45681</v>
      </c>
      <c r="C123" t="s">
        <v>43</v>
      </c>
      <c r="D123" s="36" t="s">
        <v>44</v>
      </c>
      <c r="E123" t="s">
        <v>21</v>
      </c>
      <c r="F123" s="6">
        <v>225000</v>
      </c>
      <c r="H123" s="6"/>
      <c r="I123" s="6"/>
      <c r="J123" s="55"/>
    </row>
    <row r="124" spans="2:10" x14ac:dyDescent="0.25">
      <c r="B124" s="26">
        <f t="shared" si="7"/>
        <v>45681</v>
      </c>
      <c r="C124" t="s">
        <v>43</v>
      </c>
      <c r="D124" s="36" t="s">
        <v>57</v>
      </c>
      <c r="E124" t="s">
        <v>21</v>
      </c>
      <c r="F124" s="6">
        <v>200000</v>
      </c>
      <c r="H124" s="6"/>
      <c r="I124" s="6"/>
      <c r="J124" s="55"/>
    </row>
    <row r="125" spans="2:10" x14ac:dyDescent="0.25">
      <c r="B125" s="26">
        <f t="shared" si="7"/>
        <v>45681</v>
      </c>
      <c r="C125" t="s">
        <v>43</v>
      </c>
      <c r="D125" s="36" t="s">
        <v>45</v>
      </c>
      <c r="E125" t="s">
        <v>21</v>
      </c>
      <c r="F125" s="6">
        <v>145000</v>
      </c>
      <c r="H125" s="6"/>
      <c r="I125" s="6"/>
      <c r="J125" s="55"/>
    </row>
    <row r="126" spans="2:10" x14ac:dyDescent="0.25">
      <c r="B126" s="26">
        <f t="shared" si="7"/>
        <v>45681</v>
      </c>
      <c r="C126" t="s">
        <v>43</v>
      </c>
      <c r="D126" s="36" t="s">
        <v>51</v>
      </c>
      <c r="E126" t="s">
        <v>21</v>
      </c>
      <c r="F126" s="6">
        <v>450000</v>
      </c>
      <c r="H126" s="6"/>
      <c r="I126" s="6"/>
      <c r="J126" s="55"/>
    </row>
    <row r="127" spans="2:10" x14ac:dyDescent="0.25">
      <c r="B127" s="26">
        <f t="shared" si="7"/>
        <v>45681</v>
      </c>
      <c r="C127" t="s">
        <v>43</v>
      </c>
      <c r="D127" s="36" t="s">
        <v>63</v>
      </c>
      <c r="E127" t="s">
        <v>21</v>
      </c>
      <c r="F127" s="6">
        <v>227500</v>
      </c>
      <c r="H127" s="6"/>
      <c r="I127" s="6"/>
      <c r="J127" s="55" t="s">
        <v>64</v>
      </c>
    </row>
    <row r="128" spans="2:10" x14ac:dyDescent="0.25">
      <c r="B128" s="26">
        <f>+B127+7</f>
        <v>45688</v>
      </c>
      <c r="C128" t="s">
        <v>43</v>
      </c>
      <c r="D128" s="32" t="s">
        <v>44</v>
      </c>
      <c r="E128" t="s">
        <v>21</v>
      </c>
      <c r="F128" s="6">
        <v>225000</v>
      </c>
      <c r="H128" s="9"/>
      <c r="I128" t="s">
        <v>65</v>
      </c>
      <c r="J128" s="57">
        <f>+tMov[[#This Row],[Valor]]*4</f>
        <v>900000</v>
      </c>
    </row>
    <row r="129" spans="2:10" x14ac:dyDescent="0.25">
      <c r="B129" s="26">
        <f t="shared" si="7"/>
        <v>45688</v>
      </c>
      <c r="C129" t="s">
        <v>43</v>
      </c>
      <c r="D129" s="32" t="s">
        <v>45</v>
      </c>
      <c r="E129" t="s">
        <v>21</v>
      </c>
      <c r="F129" s="6">
        <v>120000</v>
      </c>
      <c r="H129" s="9"/>
      <c r="I129" t="s">
        <v>21</v>
      </c>
      <c r="J129" s="57">
        <f>+tMov[[#This Row],[Valor]]*4</f>
        <v>480000</v>
      </c>
    </row>
    <row r="130" spans="2:10" x14ac:dyDescent="0.25">
      <c r="B130" s="26">
        <f t="shared" si="7"/>
        <v>45688</v>
      </c>
      <c r="C130" t="s">
        <v>43</v>
      </c>
      <c r="D130" s="32" t="s">
        <v>52</v>
      </c>
      <c r="E130" t="s">
        <v>21</v>
      </c>
      <c r="F130" s="6">
        <v>300000</v>
      </c>
      <c r="H130" s="9"/>
      <c r="I130" t="s">
        <v>55</v>
      </c>
      <c r="J130" s="57">
        <f>+tMov[[#This Row],[Valor]]*2</f>
        <v>600000</v>
      </c>
    </row>
    <row r="131" spans="2:10" x14ac:dyDescent="0.25">
      <c r="B131" s="26">
        <f t="shared" si="7"/>
        <v>45688</v>
      </c>
      <c r="C131" t="s">
        <v>43</v>
      </c>
      <c r="D131" s="32" t="s">
        <v>57</v>
      </c>
      <c r="E131" t="s">
        <v>21</v>
      </c>
      <c r="F131" s="6">
        <v>200000</v>
      </c>
      <c r="H131" s="9"/>
      <c r="I131" t="s">
        <v>65</v>
      </c>
      <c r="J131" s="57">
        <f>+tMov[[#This Row],[Valor]]*4</f>
        <v>800000</v>
      </c>
    </row>
    <row r="132" spans="2:10" x14ac:dyDescent="0.25">
      <c r="B132" s="26">
        <f>+B131+7</f>
        <v>45695</v>
      </c>
      <c r="C132" t="s">
        <v>43</v>
      </c>
      <c r="D132" s="36" t="s">
        <v>44</v>
      </c>
      <c r="E132" t="s">
        <v>21</v>
      </c>
      <c r="F132" s="6">
        <v>225000</v>
      </c>
      <c r="H132" s="6">
        <v>225000</v>
      </c>
      <c r="I132" s="11" t="s">
        <v>65</v>
      </c>
      <c r="J132" s="131">
        <f>+H132*4</f>
        <v>900000</v>
      </c>
    </row>
    <row r="133" spans="2:10" x14ac:dyDescent="0.25">
      <c r="B133" s="26">
        <f t="shared" si="7"/>
        <v>45695</v>
      </c>
      <c r="C133" t="s">
        <v>43</v>
      </c>
      <c r="D133" s="36" t="s">
        <v>57</v>
      </c>
      <c r="E133" t="s">
        <v>21</v>
      </c>
      <c r="F133" s="6">
        <v>200000</v>
      </c>
      <c r="H133" s="6">
        <v>200000</v>
      </c>
      <c r="I133" s="11" t="s">
        <v>65</v>
      </c>
      <c r="J133" s="131">
        <f>+H133*4</f>
        <v>800000</v>
      </c>
    </row>
    <row r="134" spans="2:10" x14ac:dyDescent="0.25">
      <c r="B134" s="26">
        <f t="shared" si="7"/>
        <v>45695</v>
      </c>
      <c r="C134" t="s">
        <v>43</v>
      </c>
      <c r="D134" s="36" t="s">
        <v>45</v>
      </c>
      <c r="E134" t="s">
        <v>21</v>
      </c>
      <c r="F134" s="6">
        <v>76000</v>
      </c>
      <c r="H134" s="6">
        <v>145000</v>
      </c>
      <c r="I134" s="11" t="s">
        <v>65</v>
      </c>
      <c r="J134" s="131">
        <f>+H134*4</f>
        <v>580000</v>
      </c>
    </row>
    <row r="135" spans="2:10" x14ac:dyDescent="0.25">
      <c r="B135" s="26">
        <f t="shared" si="7"/>
        <v>45695</v>
      </c>
      <c r="C135" t="s">
        <v>43</v>
      </c>
      <c r="D135" s="36" t="s">
        <v>51</v>
      </c>
      <c r="E135" t="s">
        <v>21</v>
      </c>
      <c r="F135" s="6">
        <f>134056+315944</f>
        <v>450000</v>
      </c>
      <c r="H135" s="6">
        <v>450000</v>
      </c>
      <c r="I135" s="11" t="s">
        <v>55</v>
      </c>
      <c r="J135" s="131">
        <f>+H135*2</f>
        <v>900000</v>
      </c>
    </row>
    <row r="136" spans="2:10" x14ac:dyDescent="0.25">
      <c r="B136" s="26">
        <f t="shared" si="7"/>
        <v>45695</v>
      </c>
      <c r="C136" t="s">
        <v>43</v>
      </c>
      <c r="D136" s="36" t="s">
        <v>63</v>
      </c>
      <c r="E136" t="s">
        <v>21</v>
      </c>
      <c r="F136" s="6">
        <v>325000</v>
      </c>
      <c r="H136" s="6">
        <v>325000</v>
      </c>
      <c r="I136" s="11" t="s">
        <v>55</v>
      </c>
      <c r="J136" s="131">
        <f>+H136*2</f>
        <v>650000</v>
      </c>
    </row>
    <row r="137" spans="2:10" x14ac:dyDescent="0.25">
      <c r="B137" s="26">
        <f>+B136+7</f>
        <v>45702</v>
      </c>
      <c r="C137" t="s">
        <v>43</v>
      </c>
      <c r="D137" s="32" t="s">
        <v>44</v>
      </c>
      <c r="E137" t="s">
        <v>21</v>
      </c>
      <c r="F137" s="6">
        <v>225000</v>
      </c>
      <c r="H137" s="9"/>
    </row>
    <row r="138" spans="2:10" x14ac:dyDescent="0.25">
      <c r="B138" s="26">
        <f>+B137</f>
        <v>45702</v>
      </c>
      <c r="C138" t="s">
        <v>43</v>
      </c>
      <c r="D138" s="32" t="s">
        <v>45</v>
      </c>
      <c r="E138" t="s">
        <v>21</v>
      </c>
      <c r="F138" s="6">
        <v>100000</v>
      </c>
      <c r="H138" s="9"/>
    </row>
    <row r="139" spans="2:10" x14ac:dyDescent="0.25">
      <c r="B139" s="26">
        <f t="shared" ref="B139:B173" si="8">+B138</f>
        <v>45702</v>
      </c>
      <c r="C139" t="s">
        <v>43</v>
      </c>
      <c r="D139" s="32" t="s">
        <v>52</v>
      </c>
      <c r="E139" t="s">
        <v>21</v>
      </c>
      <c r="F139" s="6">
        <v>300000</v>
      </c>
    </row>
    <row r="140" spans="2:10" x14ac:dyDescent="0.25">
      <c r="B140" s="26">
        <f t="shared" si="8"/>
        <v>45702</v>
      </c>
      <c r="C140" t="s">
        <v>43</v>
      </c>
      <c r="D140" s="32" t="s">
        <v>57</v>
      </c>
      <c r="E140" t="s">
        <v>21</v>
      </c>
      <c r="F140" s="6">
        <v>200000</v>
      </c>
    </row>
    <row r="141" spans="2:10" x14ac:dyDescent="0.25">
      <c r="B141" s="26">
        <f>+B140+7</f>
        <v>45709</v>
      </c>
      <c r="C141" t="s">
        <v>43</v>
      </c>
      <c r="D141" s="36" t="s">
        <v>44</v>
      </c>
      <c r="E141" t="s">
        <v>21</v>
      </c>
      <c r="F141" s="27">
        <v>225000</v>
      </c>
      <c r="H141" s="6"/>
    </row>
    <row r="142" spans="2:10" x14ac:dyDescent="0.25">
      <c r="B142" s="26">
        <f t="shared" si="8"/>
        <v>45709</v>
      </c>
      <c r="C142" t="s">
        <v>43</v>
      </c>
      <c r="D142" s="36" t="s">
        <v>57</v>
      </c>
      <c r="E142" t="s">
        <v>21</v>
      </c>
      <c r="F142" s="6">
        <v>250000</v>
      </c>
      <c r="H142" s="6"/>
      <c r="I142" s="9"/>
    </row>
    <row r="143" spans="2:10" x14ac:dyDescent="0.25">
      <c r="B143" s="26">
        <f t="shared" si="8"/>
        <v>45709</v>
      </c>
      <c r="C143" t="s">
        <v>43</v>
      </c>
      <c r="D143" s="36" t="s">
        <v>45</v>
      </c>
      <c r="E143" t="s">
        <v>21</v>
      </c>
      <c r="F143" s="6">
        <v>105000</v>
      </c>
      <c r="H143" s="27"/>
    </row>
    <row r="144" spans="2:10" x14ac:dyDescent="0.25">
      <c r="B144" s="26">
        <f t="shared" si="8"/>
        <v>45709</v>
      </c>
      <c r="C144" t="s">
        <v>43</v>
      </c>
      <c r="D144" s="36" t="s">
        <v>51</v>
      </c>
      <c r="E144" t="s">
        <v>21</v>
      </c>
      <c r="F144" s="6">
        <v>450000</v>
      </c>
      <c r="H144" s="27"/>
      <c r="I144" s="9"/>
    </row>
    <row r="145" spans="2:14" x14ac:dyDescent="0.25">
      <c r="B145" s="26">
        <f t="shared" si="8"/>
        <v>45709</v>
      </c>
      <c r="C145" t="s">
        <v>43</v>
      </c>
      <c r="D145" s="36" t="s">
        <v>63</v>
      </c>
      <c r="E145" t="s">
        <v>21</v>
      </c>
      <c r="F145" s="37">
        <v>350000</v>
      </c>
      <c r="H145" s="6"/>
    </row>
    <row r="146" spans="2:14" x14ac:dyDescent="0.25">
      <c r="B146" s="26">
        <f>+B145+7</f>
        <v>45716</v>
      </c>
      <c r="C146" t="s">
        <v>43</v>
      </c>
      <c r="D146" s="32" t="s">
        <v>44</v>
      </c>
      <c r="E146" t="s">
        <v>21</v>
      </c>
      <c r="F146" s="37">
        <v>225000</v>
      </c>
      <c r="H146" s="6"/>
    </row>
    <row r="147" spans="2:14" x14ac:dyDescent="0.25">
      <c r="B147" s="26">
        <f t="shared" si="8"/>
        <v>45716</v>
      </c>
      <c r="C147" t="s">
        <v>43</v>
      </c>
      <c r="D147" s="32" t="s">
        <v>51</v>
      </c>
      <c r="E147" t="s">
        <v>21</v>
      </c>
      <c r="F147" s="37">
        <v>225000</v>
      </c>
      <c r="H147" s="27"/>
    </row>
    <row r="148" spans="2:14" x14ac:dyDescent="0.25">
      <c r="B148" s="26">
        <f>+B146</f>
        <v>45716</v>
      </c>
      <c r="C148" t="s">
        <v>43</v>
      </c>
      <c r="D148" s="32" t="s">
        <v>45</v>
      </c>
      <c r="E148" t="s">
        <v>21</v>
      </c>
      <c r="F148" s="37">
        <v>180000</v>
      </c>
      <c r="H148" s="6"/>
    </row>
    <row r="149" spans="2:14" x14ac:dyDescent="0.25">
      <c r="B149" s="26">
        <f t="shared" si="8"/>
        <v>45716</v>
      </c>
      <c r="C149" t="s">
        <v>43</v>
      </c>
      <c r="D149" s="32" t="s">
        <v>52</v>
      </c>
      <c r="E149" t="s">
        <v>21</v>
      </c>
      <c r="F149" s="37">
        <v>325000</v>
      </c>
      <c r="H149" s="6"/>
      <c r="N149" s="9"/>
    </row>
    <row r="150" spans="2:14" x14ac:dyDescent="0.25">
      <c r="B150" s="26">
        <f t="shared" si="8"/>
        <v>45716</v>
      </c>
      <c r="C150" t="s">
        <v>43</v>
      </c>
      <c r="D150" s="32" t="s">
        <v>57</v>
      </c>
      <c r="E150" t="s">
        <v>21</v>
      </c>
      <c r="F150" s="37">
        <v>250000</v>
      </c>
      <c r="H150" s="6"/>
    </row>
    <row r="151" spans="2:14" x14ac:dyDescent="0.25">
      <c r="B151" s="26">
        <f>+B150+7</f>
        <v>45723</v>
      </c>
      <c r="C151" t="s">
        <v>43</v>
      </c>
      <c r="D151" s="36" t="s">
        <v>44</v>
      </c>
      <c r="E151" t="s">
        <v>21</v>
      </c>
      <c r="F151" s="37">
        <v>225000</v>
      </c>
      <c r="H151" s="6"/>
      <c r="I151" s="9"/>
    </row>
    <row r="152" spans="2:14" x14ac:dyDescent="0.25">
      <c r="B152" s="26">
        <f t="shared" si="8"/>
        <v>45723</v>
      </c>
      <c r="C152" t="s">
        <v>43</v>
      </c>
      <c r="D152" s="36" t="s">
        <v>57</v>
      </c>
      <c r="E152" t="s">
        <v>21</v>
      </c>
      <c r="F152" s="37">
        <v>250000</v>
      </c>
      <c r="H152" s="6"/>
      <c r="I152" s="9"/>
    </row>
    <row r="153" spans="2:14" x14ac:dyDescent="0.25">
      <c r="B153" s="26">
        <f t="shared" si="8"/>
        <v>45723</v>
      </c>
      <c r="C153" t="s">
        <v>43</v>
      </c>
      <c r="D153" s="36" t="s">
        <v>45</v>
      </c>
      <c r="E153" t="s">
        <v>21</v>
      </c>
      <c r="F153" s="37">
        <v>80000</v>
      </c>
      <c r="H153" s="6"/>
      <c r="I153" s="9"/>
    </row>
    <row r="154" spans="2:14" x14ac:dyDescent="0.25">
      <c r="B154" s="26">
        <f t="shared" si="8"/>
        <v>45723</v>
      </c>
      <c r="C154" t="s">
        <v>43</v>
      </c>
      <c r="D154" s="36" t="s">
        <v>51</v>
      </c>
      <c r="E154" t="s">
        <v>21</v>
      </c>
      <c r="F154" s="37">
        <v>225000</v>
      </c>
      <c r="H154" s="6"/>
      <c r="I154" s="9"/>
    </row>
    <row r="155" spans="2:14" x14ac:dyDescent="0.25">
      <c r="B155" s="26">
        <f t="shared" si="8"/>
        <v>45723</v>
      </c>
      <c r="C155" t="s">
        <v>43</v>
      </c>
      <c r="D155" s="36" t="s">
        <v>63</v>
      </c>
      <c r="E155" t="s">
        <v>21</v>
      </c>
      <c r="F155" s="37">
        <v>350000</v>
      </c>
      <c r="H155" s="6"/>
      <c r="I155" s="9"/>
    </row>
    <row r="156" spans="2:14" x14ac:dyDescent="0.25">
      <c r="B156" s="26">
        <f>+B155+7</f>
        <v>45730</v>
      </c>
      <c r="C156" t="s">
        <v>43</v>
      </c>
      <c r="D156" s="32" t="s">
        <v>44</v>
      </c>
      <c r="E156" t="s">
        <v>21</v>
      </c>
      <c r="F156" s="27">
        <v>225000</v>
      </c>
      <c r="H156" s="6"/>
      <c r="I156" s="9"/>
    </row>
    <row r="157" spans="2:14" x14ac:dyDescent="0.25">
      <c r="B157" s="26">
        <f t="shared" si="8"/>
        <v>45730</v>
      </c>
      <c r="C157" t="s">
        <v>43</v>
      </c>
      <c r="D157" s="32" t="s">
        <v>45</v>
      </c>
      <c r="E157" t="s">
        <v>21</v>
      </c>
      <c r="F157" s="27">
        <v>165000</v>
      </c>
      <c r="H157" s="6"/>
    </row>
    <row r="158" spans="2:14" x14ac:dyDescent="0.25">
      <c r="B158" s="26">
        <f t="shared" si="8"/>
        <v>45730</v>
      </c>
      <c r="C158" t="s">
        <v>43</v>
      </c>
      <c r="D158" s="32" t="s">
        <v>52</v>
      </c>
      <c r="E158" t="s">
        <v>21</v>
      </c>
      <c r="F158" s="27">
        <v>325000</v>
      </c>
      <c r="H158" s="6"/>
    </row>
    <row r="159" spans="2:14" x14ac:dyDescent="0.25">
      <c r="B159" s="26">
        <f t="shared" si="8"/>
        <v>45730</v>
      </c>
      <c r="C159" t="s">
        <v>43</v>
      </c>
      <c r="D159" s="32" t="s">
        <v>57</v>
      </c>
      <c r="E159" t="s">
        <v>21</v>
      </c>
      <c r="F159" s="27">
        <v>250000</v>
      </c>
      <c r="H159" s="6"/>
      <c r="I159" s="9"/>
    </row>
    <row r="160" spans="2:14" x14ac:dyDescent="0.25">
      <c r="B160" s="26">
        <f>+B159+7</f>
        <v>45737</v>
      </c>
      <c r="C160" t="s">
        <v>43</v>
      </c>
      <c r="D160" s="36" t="s">
        <v>44</v>
      </c>
      <c r="E160" t="s">
        <v>21</v>
      </c>
      <c r="F160" s="37">
        <v>225000</v>
      </c>
      <c r="H160" s="6"/>
      <c r="I160">
        <f>+H160*4</f>
        <v>0</v>
      </c>
    </row>
    <row r="161" spans="2:12" x14ac:dyDescent="0.25">
      <c r="B161" s="26">
        <f t="shared" si="8"/>
        <v>45737</v>
      </c>
      <c r="C161" t="s">
        <v>43</v>
      </c>
      <c r="D161" s="36" t="s">
        <v>57</v>
      </c>
      <c r="E161" t="s">
        <v>21</v>
      </c>
      <c r="F161" s="37">
        <v>250000</v>
      </c>
      <c r="H161" s="6"/>
      <c r="I161">
        <f>+H161*4</f>
        <v>0</v>
      </c>
    </row>
    <row r="162" spans="2:12" x14ac:dyDescent="0.25">
      <c r="B162" s="26">
        <f t="shared" si="8"/>
        <v>45737</v>
      </c>
      <c r="C162" t="s">
        <v>43</v>
      </c>
      <c r="D162" s="36" t="s">
        <v>45</v>
      </c>
      <c r="E162" t="s">
        <v>21</v>
      </c>
      <c r="F162" s="37">
        <v>169000</v>
      </c>
      <c r="H162" s="6"/>
    </row>
    <row r="163" spans="2:12" x14ac:dyDescent="0.25">
      <c r="B163" s="26">
        <f t="shared" si="8"/>
        <v>45737</v>
      </c>
      <c r="C163" t="s">
        <v>43</v>
      </c>
      <c r="D163" s="36" t="s">
        <v>51</v>
      </c>
      <c r="E163" t="s">
        <v>21</v>
      </c>
      <c r="F163" s="37">
        <v>450000</v>
      </c>
      <c r="H163" s="6"/>
      <c r="I163" s="9"/>
    </row>
    <row r="164" spans="2:12" x14ac:dyDescent="0.25">
      <c r="B164" s="26">
        <f t="shared" si="8"/>
        <v>45737</v>
      </c>
      <c r="C164" t="s">
        <v>43</v>
      </c>
      <c r="D164" s="36" t="s">
        <v>63</v>
      </c>
      <c r="E164" t="s">
        <v>21</v>
      </c>
      <c r="F164" s="37">
        <v>350000</v>
      </c>
      <c r="H164" s="6"/>
    </row>
    <row r="165" spans="2:12" x14ac:dyDescent="0.25">
      <c r="B165" s="26">
        <f>+B164+7</f>
        <v>45744</v>
      </c>
      <c r="C165" t="s">
        <v>43</v>
      </c>
      <c r="D165" s="32" t="s">
        <v>44</v>
      </c>
      <c r="E165" t="s">
        <v>21</v>
      </c>
      <c r="F165" s="27">
        <v>250000</v>
      </c>
      <c r="H165" s="6"/>
    </row>
    <row r="166" spans="2:12" x14ac:dyDescent="0.25">
      <c r="B166" s="26">
        <f t="shared" si="8"/>
        <v>45744</v>
      </c>
      <c r="C166" t="s">
        <v>43</v>
      </c>
      <c r="D166" s="32" t="s">
        <v>45</v>
      </c>
      <c r="E166" t="s">
        <v>21</v>
      </c>
      <c r="F166" s="27">
        <v>140000</v>
      </c>
      <c r="H166" s="6"/>
    </row>
    <row r="167" spans="2:12" x14ac:dyDescent="0.25">
      <c r="B167" s="26">
        <f t="shared" si="8"/>
        <v>45744</v>
      </c>
      <c r="C167" t="s">
        <v>43</v>
      </c>
      <c r="D167" s="32" t="s">
        <v>52</v>
      </c>
      <c r="E167" t="s">
        <v>21</v>
      </c>
      <c r="F167" s="27">
        <v>350000</v>
      </c>
      <c r="H167" s="6"/>
      <c r="L167" s="9"/>
    </row>
    <row r="168" spans="2:12" x14ac:dyDescent="0.25">
      <c r="B168" s="26">
        <f t="shared" si="8"/>
        <v>45744</v>
      </c>
      <c r="C168" t="s">
        <v>43</v>
      </c>
      <c r="D168" s="32" t="s">
        <v>57</v>
      </c>
      <c r="E168" t="s">
        <v>21</v>
      </c>
      <c r="F168" s="27">
        <v>250000</v>
      </c>
      <c r="H168" s="54" t="s">
        <v>66</v>
      </c>
      <c r="I168" s="8" t="s">
        <v>67</v>
      </c>
    </row>
    <row r="169" spans="2:12" x14ac:dyDescent="0.25">
      <c r="B169" s="26">
        <f>+B168+7</f>
        <v>45751</v>
      </c>
      <c r="C169" t="s">
        <v>43</v>
      </c>
      <c r="D169" s="36" t="s">
        <v>44</v>
      </c>
      <c r="E169" t="s">
        <v>21</v>
      </c>
      <c r="F169" s="27">
        <v>250000</v>
      </c>
      <c r="H169" s="6"/>
      <c r="I169" s="6"/>
    </row>
    <row r="170" spans="2:12" x14ac:dyDescent="0.25">
      <c r="B170" s="26">
        <f t="shared" si="8"/>
        <v>45751</v>
      </c>
      <c r="C170" t="s">
        <v>43</v>
      </c>
      <c r="D170" s="36" t="s">
        <v>57</v>
      </c>
      <c r="E170" t="s">
        <v>21</v>
      </c>
      <c r="F170" s="27">
        <v>250000</v>
      </c>
      <c r="H170" s="6"/>
      <c r="I170" s="6"/>
    </row>
    <row r="171" spans="2:12" x14ac:dyDescent="0.25">
      <c r="B171" s="26">
        <f t="shared" si="8"/>
        <v>45751</v>
      </c>
      <c r="C171" t="s">
        <v>43</v>
      </c>
      <c r="D171" s="36" t="s">
        <v>45</v>
      </c>
      <c r="E171" t="s">
        <v>21</v>
      </c>
      <c r="F171" s="27">
        <v>128000</v>
      </c>
      <c r="H171" s="6"/>
      <c r="I171" s="6"/>
    </row>
    <row r="172" spans="2:12" x14ac:dyDescent="0.25">
      <c r="B172" s="26">
        <f t="shared" si="8"/>
        <v>45751</v>
      </c>
      <c r="C172" t="s">
        <v>43</v>
      </c>
      <c r="D172" s="36" t="s">
        <v>51</v>
      </c>
      <c r="E172" t="s">
        <v>21</v>
      </c>
      <c r="F172" s="27">
        <v>500000</v>
      </c>
      <c r="H172" s="6"/>
      <c r="I172" s="6"/>
    </row>
    <row r="173" spans="2:12" x14ac:dyDescent="0.25">
      <c r="B173" s="26">
        <f t="shared" si="8"/>
        <v>45751</v>
      </c>
      <c r="C173" t="s">
        <v>43</v>
      </c>
      <c r="D173" s="36" t="s">
        <v>63</v>
      </c>
      <c r="E173" t="s">
        <v>21</v>
      </c>
      <c r="F173" s="27">
        <v>350000</v>
      </c>
      <c r="H173" s="6"/>
      <c r="I173" s="6"/>
    </row>
    <row r="174" spans="2:12" x14ac:dyDescent="0.25">
      <c r="B174" s="26">
        <f>+B173+7</f>
        <v>45758</v>
      </c>
      <c r="C174" t="s">
        <v>43</v>
      </c>
      <c r="D174" s="32" t="s">
        <v>44</v>
      </c>
      <c r="E174" t="s">
        <v>21</v>
      </c>
      <c r="F174" s="37">
        <v>250000</v>
      </c>
      <c r="H174" s="6">
        <v>250000</v>
      </c>
      <c r="I174" s="6"/>
      <c r="J174" s="55"/>
    </row>
    <row r="175" spans="2:12" x14ac:dyDescent="0.25">
      <c r="B175" s="26">
        <f>+B174</f>
        <v>45758</v>
      </c>
      <c r="C175" t="s">
        <v>43</v>
      </c>
      <c r="D175" s="32" t="s">
        <v>45</v>
      </c>
      <c r="E175" t="s">
        <v>21</v>
      </c>
      <c r="F175" s="27">
        <v>150000</v>
      </c>
      <c r="H175" s="6">
        <v>148000</v>
      </c>
      <c r="I175" s="6"/>
      <c r="J175" s="55"/>
    </row>
    <row r="176" spans="2:12" x14ac:dyDescent="0.25">
      <c r="B176" s="26">
        <f t="shared" ref="B176:B200" si="9">+B175</f>
        <v>45758</v>
      </c>
      <c r="C176" t="s">
        <v>43</v>
      </c>
      <c r="D176" s="32" t="s">
        <v>52</v>
      </c>
      <c r="E176" t="s">
        <v>21</v>
      </c>
      <c r="F176" s="27">
        <v>385000</v>
      </c>
      <c r="H176" s="6">
        <v>350000</v>
      </c>
      <c r="I176" s="6"/>
      <c r="J176" s="55"/>
    </row>
    <row r="177" spans="2:15" x14ac:dyDescent="0.25">
      <c r="B177" s="26">
        <f t="shared" si="9"/>
        <v>45758</v>
      </c>
      <c r="C177" t="s">
        <v>43</v>
      </c>
      <c r="D177" s="32" t="s">
        <v>57</v>
      </c>
      <c r="E177" t="s">
        <v>21</v>
      </c>
      <c r="F177" s="27">
        <v>250000</v>
      </c>
      <c r="H177" s="6">
        <v>250000</v>
      </c>
      <c r="I177" s="6"/>
      <c r="J177" s="55"/>
    </row>
    <row r="178" spans="2:15" ht="15.75" thickBot="1" x14ac:dyDescent="0.3">
      <c r="B178" s="26">
        <f t="shared" si="9"/>
        <v>45758</v>
      </c>
      <c r="C178" t="s">
        <v>43</v>
      </c>
      <c r="D178" s="32" t="s">
        <v>63</v>
      </c>
      <c r="E178" t="s">
        <v>21</v>
      </c>
      <c r="F178" s="37">
        <v>228226</v>
      </c>
      <c r="H178" s="6">
        <v>175000</v>
      </c>
      <c r="I178" s="6"/>
      <c r="J178" s="55"/>
    </row>
    <row r="179" spans="2:15" x14ac:dyDescent="0.25">
      <c r="B179" s="58">
        <f>+B178+7</f>
        <v>45765</v>
      </c>
      <c r="C179" s="59" t="s">
        <v>43</v>
      </c>
      <c r="D179" s="60" t="s">
        <v>44</v>
      </c>
      <c r="E179" s="59" t="s">
        <v>21</v>
      </c>
      <c r="F179" s="61">
        <v>250000</v>
      </c>
      <c r="G179" s="59"/>
      <c r="H179" s="76">
        <v>250000</v>
      </c>
      <c r="I179" s="6"/>
      <c r="J179" s="55"/>
    </row>
    <row r="180" spans="2:15" x14ac:dyDescent="0.25">
      <c r="B180" s="63">
        <f t="shared" si="9"/>
        <v>45765</v>
      </c>
      <c r="C180" t="s">
        <v>43</v>
      </c>
      <c r="D180" s="64" t="s">
        <v>57</v>
      </c>
      <c r="E180" t="s">
        <v>21</v>
      </c>
      <c r="F180" s="65">
        <v>250000</v>
      </c>
      <c r="H180" s="77">
        <v>250000</v>
      </c>
      <c r="I180" s="6"/>
      <c r="J180" s="55"/>
    </row>
    <row r="181" spans="2:15" x14ac:dyDescent="0.25">
      <c r="B181" s="63">
        <f t="shared" si="9"/>
        <v>45765</v>
      </c>
      <c r="C181" t="s">
        <v>43</v>
      </c>
      <c r="D181" s="64" t="s">
        <v>45</v>
      </c>
      <c r="E181" t="s">
        <v>21</v>
      </c>
      <c r="F181" s="65">
        <v>87000</v>
      </c>
      <c r="H181" s="66">
        <v>87000</v>
      </c>
      <c r="I181" s="6"/>
      <c r="J181" s="55"/>
      <c r="L181" s="7"/>
      <c r="M181" s="7"/>
      <c r="N181" s="7"/>
      <c r="O181" s="7"/>
    </row>
    <row r="182" spans="2:15" x14ac:dyDescent="0.25">
      <c r="B182" s="63">
        <f t="shared" si="9"/>
        <v>45765</v>
      </c>
      <c r="C182" t="s">
        <v>43</v>
      </c>
      <c r="D182" s="36" t="s">
        <v>51</v>
      </c>
      <c r="E182" t="s">
        <v>21</v>
      </c>
      <c r="F182" s="65">
        <v>500000</v>
      </c>
      <c r="H182" s="77">
        <v>500000</v>
      </c>
      <c r="I182" s="6"/>
      <c r="J182" s="55"/>
      <c r="L182" s="7"/>
      <c r="M182" s="7"/>
      <c r="N182" s="7"/>
      <c r="O182" s="7"/>
    </row>
    <row r="183" spans="2:15" x14ac:dyDescent="0.25">
      <c r="B183" s="63">
        <f t="shared" si="9"/>
        <v>45765</v>
      </c>
      <c r="C183" t="s">
        <v>43</v>
      </c>
      <c r="D183" s="64" t="s">
        <v>63</v>
      </c>
      <c r="E183" t="s">
        <v>21</v>
      </c>
      <c r="F183" s="65">
        <v>383796.875</v>
      </c>
      <c r="H183" s="66">
        <v>175000</v>
      </c>
      <c r="I183" s="6"/>
      <c r="J183" s="55"/>
    </row>
    <row r="184" spans="2:15" ht="15.75" thickBot="1" x14ac:dyDescent="0.3">
      <c r="B184" s="67">
        <f t="shared" si="9"/>
        <v>45765</v>
      </c>
      <c r="C184" s="68" t="s">
        <v>43</v>
      </c>
      <c r="D184" s="69" t="s">
        <v>68</v>
      </c>
      <c r="E184" s="68" t="s">
        <v>21</v>
      </c>
      <c r="F184" s="70">
        <v>400000</v>
      </c>
      <c r="G184" s="68"/>
      <c r="H184" s="78">
        <v>400000</v>
      </c>
      <c r="I184" s="6"/>
      <c r="J184" s="55"/>
    </row>
    <row r="185" spans="2:15" x14ac:dyDescent="0.25">
      <c r="B185" s="58">
        <f>+B184+7</f>
        <v>45772</v>
      </c>
      <c r="C185" s="59" t="s">
        <v>43</v>
      </c>
      <c r="D185" s="72" t="s">
        <v>44</v>
      </c>
      <c r="E185" s="59" t="s">
        <v>21</v>
      </c>
      <c r="F185" s="61">
        <v>280000</v>
      </c>
      <c r="G185" s="59"/>
      <c r="H185" s="73">
        <v>250000</v>
      </c>
      <c r="I185" s="6"/>
      <c r="J185" s="55"/>
    </row>
    <row r="186" spans="2:15" x14ac:dyDescent="0.25">
      <c r="B186" s="63">
        <f t="shared" si="9"/>
        <v>45772</v>
      </c>
      <c r="C186" t="s">
        <v>43</v>
      </c>
      <c r="D186" s="74" t="s">
        <v>45</v>
      </c>
      <c r="E186" t="s">
        <v>21</v>
      </c>
      <c r="F186" s="65">
        <v>140000</v>
      </c>
      <c r="H186" s="66">
        <v>140000</v>
      </c>
      <c r="I186" s="6"/>
      <c r="J186" s="55"/>
    </row>
    <row r="187" spans="2:15" x14ac:dyDescent="0.25">
      <c r="B187" s="63">
        <f t="shared" si="9"/>
        <v>45772</v>
      </c>
      <c r="C187" t="s">
        <v>43</v>
      </c>
      <c r="D187" s="32" t="s">
        <v>52</v>
      </c>
      <c r="E187" t="s">
        <v>21</v>
      </c>
      <c r="F187" s="65">
        <v>350000</v>
      </c>
      <c r="H187" s="66">
        <v>350000</v>
      </c>
      <c r="I187" s="6"/>
      <c r="J187" s="55"/>
    </row>
    <row r="188" spans="2:15" x14ac:dyDescent="0.25">
      <c r="B188" s="63">
        <f t="shared" si="9"/>
        <v>45772</v>
      </c>
      <c r="C188" t="s">
        <v>43</v>
      </c>
      <c r="D188" s="74" t="s">
        <v>57</v>
      </c>
      <c r="E188" t="s">
        <v>21</v>
      </c>
      <c r="F188" s="65">
        <v>250000</v>
      </c>
      <c r="H188" s="66">
        <v>250000</v>
      </c>
      <c r="I188" s="6"/>
      <c r="J188" s="55"/>
    </row>
    <row r="189" spans="2:15" ht="15.75" thickBot="1" x14ac:dyDescent="0.3">
      <c r="B189" s="67">
        <f t="shared" si="9"/>
        <v>45772</v>
      </c>
      <c r="C189" s="68" t="s">
        <v>43</v>
      </c>
      <c r="D189" s="75" t="s">
        <v>63</v>
      </c>
      <c r="E189" s="68" t="s">
        <v>21</v>
      </c>
      <c r="F189" s="70">
        <f>+I189+H189</f>
        <v>175000</v>
      </c>
      <c r="G189" s="68"/>
      <c r="H189" s="71">
        <v>175000</v>
      </c>
      <c r="I189" s="6"/>
      <c r="J189" s="55"/>
    </row>
    <row r="190" spans="2:15" x14ac:dyDescent="0.25">
      <c r="B190" s="58">
        <v>45779</v>
      </c>
      <c r="C190" s="59" t="s">
        <v>43</v>
      </c>
      <c r="D190" s="60" t="s">
        <v>44</v>
      </c>
      <c r="E190" s="59" t="s">
        <v>21</v>
      </c>
      <c r="F190" s="82">
        <f>250000+76875</f>
        <v>326875</v>
      </c>
      <c r="G190" s="59"/>
      <c r="H190" s="62">
        <v>250000</v>
      </c>
      <c r="I190" s="6"/>
      <c r="J190" s="55"/>
    </row>
    <row r="191" spans="2:15" x14ac:dyDescent="0.25">
      <c r="B191" s="63">
        <f t="shared" si="9"/>
        <v>45779</v>
      </c>
      <c r="C191" t="s">
        <v>43</v>
      </c>
      <c r="D191" s="64" t="s">
        <v>57</v>
      </c>
      <c r="E191" t="s">
        <v>21</v>
      </c>
      <c r="F191" s="83">
        <v>250000</v>
      </c>
      <c r="H191" s="66">
        <v>250000</v>
      </c>
      <c r="I191" s="6"/>
      <c r="J191" s="55"/>
    </row>
    <row r="192" spans="2:15" x14ac:dyDescent="0.25">
      <c r="B192" s="63">
        <f t="shared" si="9"/>
        <v>45779</v>
      </c>
      <c r="C192" t="s">
        <v>43</v>
      </c>
      <c r="D192" s="64" t="s">
        <v>45</v>
      </c>
      <c r="E192" t="s">
        <v>21</v>
      </c>
      <c r="F192" s="83">
        <v>167000</v>
      </c>
      <c r="H192" s="66">
        <v>120000</v>
      </c>
      <c r="I192" s="6"/>
      <c r="J192" s="55"/>
    </row>
    <row r="193" spans="2:10" x14ac:dyDescent="0.25">
      <c r="B193" s="63">
        <f t="shared" si="9"/>
        <v>45779</v>
      </c>
      <c r="C193" t="s">
        <v>43</v>
      </c>
      <c r="D193" s="36" t="s">
        <v>51</v>
      </c>
      <c r="E193" t="s">
        <v>21</v>
      </c>
      <c r="F193" s="83">
        <f>195000+150000+200000+98125</f>
        <v>643125</v>
      </c>
      <c r="H193" s="66">
        <v>500000</v>
      </c>
      <c r="I193" s="6"/>
      <c r="J193" s="55"/>
    </row>
    <row r="194" spans="2:10" x14ac:dyDescent="0.25">
      <c r="B194" s="63">
        <f t="shared" si="9"/>
        <v>45779</v>
      </c>
      <c r="C194" t="s">
        <v>43</v>
      </c>
      <c r="D194" s="64" t="s">
        <v>63</v>
      </c>
      <c r="E194" t="s">
        <v>21</v>
      </c>
      <c r="F194" s="83">
        <f>144464+367869</f>
        <v>512333</v>
      </c>
      <c r="H194" s="66">
        <v>200000</v>
      </c>
      <c r="I194" s="6"/>
      <c r="J194" s="55"/>
    </row>
    <row r="195" spans="2:10" ht="15.75" thickBot="1" x14ac:dyDescent="0.3">
      <c r="B195" s="67">
        <f t="shared" si="9"/>
        <v>45779</v>
      </c>
      <c r="C195" s="68" t="s">
        <v>43</v>
      </c>
      <c r="D195" s="69" t="s">
        <v>68</v>
      </c>
      <c r="E195" s="68" t="s">
        <v>21</v>
      </c>
      <c r="F195" s="84">
        <v>450000</v>
      </c>
      <c r="G195" s="68"/>
      <c r="H195" s="71">
        <v>450000</v>
      </c>
    </row>
    <row r="196" spans="2:10" x14ac:dyDescent="0.25">
      <c r="B196" s="58">
        <f>+B195+7</f>
        <v>45786</v>
      </c>
      <c r="C196" s="59" t="s">
        <v>43</v>
      </c>
      <c r="D196" s="72" t="s">
        <v>44</v>
      </c>
      <c r="E196" s="59" t="s">
        <v>21</v>
      </c>
      <c r="F196" s="113">
        <f>100000+179750</f>
        <v>279750</v>
      </c>
      <c r="G196" s="59"/>
      <c r="H196" s="73">
        <v>250000</v>
      </c>
    </row>
    <row r="197" spans="2:10" x14ac:dyDescent="0.25">
      <c r="B197" s="63">
        <f t="shared" si="9"/>
        <v>45786</v>
      </c>
      <c r="C197" t="s">
        <v>43</v>
      </c>
      <c r="D197" s="74" t="s">
        <v>45</v>
      </c>
      <c r="E197" t="s">
        <v>21</v>
      </c>
      <c r="F197" s="116">
        <v>176000</v>
      </c>
      <c r="G197" s="57"/>
      <c r="H197" s="117">
        <f>+AD4</f>
        <v>204000</v>
      </c>
    </row>
    <row r="198" spans="2:10" x14ac:dyDescent="0.25">
      <c r="B198" s="63">
        <f t="shared" si="9"/>
        <v>45786</v>
      </c>
      <c r="C198" t="s">
        <v>43</v>
      </c>
      <c r="D198" s="74" t="s">
        <v>52</v>
      </c>
      <c r="E198" t="s">
        <v>21</v>
      </c>
      <c r="F198" s="116">
        <f>200000+130000</f>
        <v>330000</v>
      </c>
      <c r="G198" s="57"/>
      <c r="H198" s="117">
        <v>350000</v>
      </c>
    </row>
    <row r="199" spans="2:10" x14ac:dyDescent="0.25">
      <c r="B199" s="63">
        <f t="shared" si="9"/>
        <v>45786</v>
      </c>
      <c r="C199" t="s">
        <v>43</v>
      </c>
      <c r="D199" s="74" t="s">
        <v>57</v>
      </c>
      <c r="E199" t="s">
        <v>21</v>
      </c>
      <c r="F199" s="116">
        <f>100000+150000</f>
        <v>250000</v>
      </c>
      <c r="G199" s="57"/>
      <c r="H199" s="117">
        <v>250000</v>
      </c>
    </row>
    <row r="200" spans="2:10" ht="15.75" thickBot="1" x14ac:dyDescent="0.3">
      <c r="B200" s="67">
        <f t="shared" si="9"/>
        <v>45786</v>
      </c>
      <c r="C200" s="68" t="s">
        <v>43</v>
      </c>
      <c r="D200" s="75" t="s">
        <v>63</v>
      </c>
      <c r="E200" s="68" t="s">
        <v>21</v>
      </c>
      <c r="F200" s="118">
        <v>252500</v>
      </c>
      <c r="G200" s="119"/>
      <c r="H200" s="120">
        <v>200000</v>
      </c>
    </row>
    <row r="201" spans="2:10" x14ac:dyDescent="0.25">
      <c r="B201" s="58">
        <f>+B200+7</f>
        <v>45793</v>
      </c>
      <c r="C201" s="59" t="s">
        <v>43</v>
      </c>
      <c r="D201" s="93" t="s">
        <v>44</v>
      </c>
      <c r="E201" s="59" t="s">
        <v>21</v>
      </c>
      <c r="F201" s="113">
        <f>250000+131562.5-9375</f>
        <v>372187.5</v>
      </c>
      <c r="G201" s="114"/>
      <c r="H201" s="121">
        <v>250000</v>
      </c>
    </row>
    <row r="202" spans="2:10" x14ac:dyDescent="0.25">
      <c r="B202" s="63">
        <f>+B201</f>
        <v>45793</v>
      </c>
      <c r="C202" t="s">
        <v>43</v>
      </c>
      <c r="D202" s="36" t="s">
        <v>57</v>
      </c>
      <c r="E202" t="s">
        <v>21</v>
      </c>
      <c r="F202" s="116">
        <f>190000+60000</f>
        <v>250000</v>
      </c>
      <c r="G202" s="57"/>
      <c r="H202" s="117">
        <v>250000</v>
      </c>
    </row>
    <row r="203" spans="2:10" x14ac:dyDescent="0.25">
      <c r="B203" s="63">
        <f t="shared" ref="B203:B243" si="10">+B202</f>
        <v>45793</v>
      </c>
      <c r="C203" t="s">
        <v>43</v>
      </c>
      <c r="D203" s="36" t="s">
        <v>45</v>
      </c>
      <c r="E203" t="s">
        <v>21</v>
      </c>
      <c r="F203" s="116">
        <v>171000</v>
      </c>
      <c r="G203" s="57"/>
      <c r="H203" s="117">
        <f>+AD4</f>
        <v>204000</v>
      </c>
    </row>
    <row r="204" spans="2:10" x14ac:dyDescent="0.25">
      <c r="B204" s="63">
        <f t="shared" si="10"/>
        <v>45793</v>
      </c>
      <c r="C204" t="s">
        <v>43</v>
      </c>
      <c r="D204" s="36" t="s">
        <v>51</v>
      </c>
      <c r="E204" t="s">
        <v>21</v>
      </c>
      <c r="F204" s="56">
        <f>310463+202126.93+139285.07</f>
        <v>651875</v>
      </c>
      <c r="G204" s="57"/>
      <c r="H204" s="117">
        <v>500000</v>
      </c>
    </row>
    <row r="205" spans="2:10" x14ac:dyDescent="0.25">
      <c r="B205" s="63">
        <f t="shared" si="10"/>
        <v>45793</v>
      </c>
      <c r="C205" t="s">
        <v>43</v>
      </c>
      <c r="D205" s="36" t="s">
        <v>63</v>
      </c>
      <c r="E205" t="s">
        <v>21</v>
      </c>
      <c r="F205" s="116">
        <f>257570+40180</f>
        <v>297750</v>
      </c>
      <c r="G205" s="57"/>
      <c r="H205" s="117">
        <v>200000</v>
      </c>
    </row>
    <row r="206" spans="2:10" ht="15.75" thickBot="1" x14ac:dyDescent="0.3">
      <c r="B206" s="63">
        <f t="shared" si="10"/>
        <v>45793</v>
      </c>
      <c r="C206" s="68" t="s">
        <v>43</v>
      </c>
      <c r="D206" s="69" t="s">
        <v>68</v>
      </c>
      <c r="E206" s="68" t="s">
        <v>21</v>
      </c>
      <c r="F206" s="118">
        <v>500000</v>
      </c>
      <c r="G206" s="119"/>
      <c r="H206" s="120">
        <v>450000</v>
      </c>
    </row>
    <row r="207" spans="2:10" x14ac:dyDescent="0.25">
      <c r="B207" s="26">
        <f>+B206+7</f>
        <v>45800</v>
      </c>
      <c r="C207" s="59" t="s">
        <v>43</v>
      </c>
      <c r="D207" s="72" t="s">
        <v>44</v>
      </c>
      <c r="E207" s="59" t="s">
        <v>21</v>
      </c>
      <c r="F207" s="113">
        <f>250000+94531</f>
        <v>344531</v>
      </c>
      <c r="G207" s="114"/>
      <c r="H207" s="115">
        <v>250000</v>
      </c>
    </row>
    <row r="208" spans="2:10" x14ac:dyDescent="0.25">
      <c r="B208" s="63">
        <f t="shared" si="10"/>
        <v>45800</v>
      </c>
      <c r="C208" t="s">
        <v>43</v>
      </c>
      <c r="D208" s="74" t="s">
        <v>45</v>
      </c>
      <c r="E208" t="s">
        <v>21</v>
      </c>
      <c r="F208" s="116">
        <v>201000</v>
      </c>
      <c r="G208" s="57"/>
      <c r="H208" s="117">
        <v>201000</v>
      </c>
    </row>
    <row r="209" spans="2:8" x14ac:dyDescent="0.25">
      <c r="B209" s="63">
        <f t="shared" si="10"/>
        <v>45800</v>
      </c>
      <c r="C209" t="s">
        <v>43</v>
      </c>
      <c r="D209" s="74" t="s">
        <v>69</v>
      </c>
      <c r="E209" t="s">
        <v>21</v>
      </c>
      <c r="F209" s="116">
        <v>220000</v>
      </c>
      <c r="G209" s="57"/>
      <c r="H209" s="117">
        <f>700000/4</f>
        <v>175000</v>
      </c>
    </row>
    <row r="210" spans="2:8" x14ac:dyDescent="0.25">
      <c r="B210" s="63">
        <f t="shared" si="10"/>
        <v>45800</v>
      </c>
      <c r="C210" t="s">
        <v>43</v>
      </c>
      <c r="D210" s="74" t="s">
        <v>57</v>
      </c>
      <c r="E210" t="s">
        <v>21</v>
      </c>
      <c r="F210" s="116">
        <v>250000</v>
      </c>
      <c r="G210" s="57"/>
      <c r="H210" s="117">
        <v>250000</v>
      </c>
    </row>
    <row r="211" spans="2:8" ht="15.75" thickBot="1" x14ac:dyDescent="0.3">
      <c r="B211" s="63">
        <f t="shared" si="10"/>
        <v>45800</v>
      </c>
      <c r="C211" s="68" t="s">
        <v>43</v>
      </c>
      <c r="D211" s="75" t="s">
        <v>63</v>
      </c>
      <c r="E211" s="68" t="s">
        <v>21</v>
      </c>
      <c r="F211" s="118">
        <v>296875</v>
      </c>
      <c r="G211" s="119"/>
      <c r="H211" s="120">
        <v>200000</v>
      </c>
    </row>
    <row r="212" spans="2:8" x14ac:dyDescent="0.25">
      <c r="B212" s="26">
        <f>+B211+7</f>
        <v>45807</v>
      </c>
      <c r="C212" s="59" t="s">
        <v>43</v>
      </c>
      <c r="D212" s="93" t="s">
        <v>44</v>
      </c>
      <c r="E212" s="59" t="s">
        <v>21</v>
      </c>
      <c r="F212" s="113">
        <f>100000+290000</f>
        <v>390000</v>
      </c>
      <c r="G212" s="114"/>
      <c r="H212" s="122">
        <v>250000</v>
      </c>
    </row>
    <row r="213" spans="2:8" x14ac:dyDescent="0.25">
      <c r="B213" s="63">
        <f t="shared" si="10"/>
        <v>45807</v>
      </c>
      <c r="C213" t="s">
        <v>43</v>
      </c>
      <c r="D213" s="36" t="s">
        <v>57</v>
      </c>
      <c r="E213" t="s">
        <v>21</v>
      </c>
      <c r="F213" s="116">
        <v>250000</v>
      </c>
      <c r="G213" s="57"/>
      <c r="H213" s="123">
        <v>250000</v>
      </c>
    </row>
    <row r="214" spans="2:8" x14ac:dyDescent="0.25">
      <c r="B214" s="63">
        <f t="shared" si="10"/>
        <v>45807</v>
      </c>
      <c r="C214" t="s">
        <v>43</v>
      </c>
      <c r="D214" s="36" t="s">
        <v>45</v>
      </c>
      <c r="E214" t="s">
        <v>21</v>
      </c>
      <c r="F214" s="116">
        <v>170000</v>
      </c>
      <c r="G214" s="57"/>
      <c r="H214" s="123">
        <f>+AD4</f>
        <v>204000</v>
      </c>
    </row>
    <row r="215" spans="2:8" x14ac:dyDescent="0.25">
      <c r="B215" s="63">
        <f t="shared" si="10"/>
        <v>45807</v>
      </c>
      <c r="C215" t="s">
        <v>43</v>
      </c>
      <c r="D215" s="36" t="s">
        <v>51</v>
      </c>
      <c r="E215" t="s">
        <v>21</v>
      </c>
      <c r="F215" s="56">
        <f>390270+80000+100000+120000</f>
        <v>690270</v>
      </c>
      <c r="G215" s="57"/>
      <c r="H215" s="123">
        <v>500000</v>
      </c>
    </row>
    <row r="216" spans="2:8" x14ac:dyDescent="0.25">
      <c r="B216" s="63">
        <f t="shared" si="10"/>
        <v>45807</v>
      </c>
      <c r="C216" t="s">
        <v>43</v>
      </c>
      <c r="D216" s="36" t="s">
        <v>63</v>
      </c>
      <c r="E216" t="s">
        <v>21</v>
      </c>
      <c r="F216" s="116">
        <f>200000+150000</f>
        <v>350000</v>
      </c>
      <c r="G216" s="57"/>
      <c r="H216" s="123">
        <v>200000</v>
      </c>
    </row>
    <row r="217" spans="2:8" x14ac:dyDescent="0.25">
      <c r="B217" s="63">
        <f t="shared" si="10"/>
        <v>45807</v>
      </c>
      <c r="C217" t="s">
        <v>43</v>
      </c>
      <c r="D217" s="36" t="s">
        <v>69</v>
      </c>
      <c r="F217" s="116">
        <f>200000+180000</f>
        <v>380000</v>
      </c>
      <c r="G217" s="57"/>
      <c r="H217" s="123">
        <v>175000</v>
      </c>
    </row>
    <row r="218" spans="2:8" ht="15.75" thickBot="1" x14ac:dyDescent="0.3">
      <c r="B218" s="63">
        <f t="shared" si="10"/>
        <v>45807</v>
      </c>
      <c r="C218" s="68" t="s">
        <v>43</v>
      </c>
      <c r="D218" s="69" t="s">
        <v>68</v>
      </c>
      <c r="E218" s="68" t="s">
        <v>21</v>
      </c>
      <c r="F218" s="118">
        <v>500000</v>
      </c>
      <c r="G218" s="119"/>
      <c r="H218" s="124">
        <v>500000</v>
      </c>
    </row>
    <row r="219" spans="2:8" x14ac:dyDescent="0.25">
      <c r="B219" s="26">
        <f>+B218+7</f>
        <v>45814</v>
      </c>
      <c r="C219" s="59" t="s">
        <v>43</v>
      </c>
      <c r="D219" s="72" t="s">
        <v>44</v>
      </c>
      <c r="E219" s="59" t="s">
        <v>21</v>
      </c>
      <c r="F219" s="113">
        <v>250000</v>
      </c>
      <c r="G219" s="114"/>
      <c r="H219" s="115">
        <v>250000</v>
      </c>
    </row>
    <row r="220" spans="2:8" x14ac:dyDescent="0.25">
      <c r="B220" s="63">
        <f t="shared" si="10"/>
        <v>45814</v>
      </c>
      <c r="C220" t="s">
        <v>43</v>
      </c>
      <c r="D220" s="74" t="s">
        <v>45</v>
      </c>
      <c r="E220" t="s">
        <v>21</v>
      </c>
      <c r="F220" s="116">
        <v>170000</v>
      </c>
      <c r="G220" s="57"/>
      <c r="H220" s="125">
        <v>170000</v>
      </c>
    </row>
    <row r="221" spans="2:8" x14ac:dyDescent="0.25">
      <c r="B221" s="63">
        <f t="shared" si="10"/>
        <v>45814</v>
      </c>
      <c r="C221" t="s">
        <v>43</v>
      </c>
      <c r="D221" s="74" t="s">
        <v>69</v>
      </c>
      <c r="E221" t="s">
        <v>21</v>
      </c>
      <c r="F221" s="116">
        <v>175000</v>
      </c>
      <c r="G221" s="57"/>
      <c r="H221" s="117">
        <v>175000</v>
      </c>
    </row>
    <row r="222" spans="2:8" x14ac:dyDescent="0.25">
      <c r="B222" s="63">
        <f t="shared" si="10"/>
        <v>45814</v>
      </c>
      <c r="C222" t="s">
        <v>43</v>
      </c>
      <c r="D222" s="74" t="s">
        <v>57</v>
      </c>
      <c r="E222" t="s">
        <v>21</v>
      </c>
      <c r="F222" s="116">
        <v>250000</v>
      </c>
      <c r="G222" s="57"/>
      <c r="H222" s="117">
        <v>250000</v>
      </c>
    </row>
    <row r="223" spans="2:8" ht="15.75" thickBot="1" x14ac:dyDescent="0.3">
      <c r="B223" s="63">
        <f t="shared" si="10"/>
        <v>45814</v>
      </c>
      <c r="C223" s="68" t="s">
        <v>43</v>
      </c>
      <c r="D223" s="75" t="s">
        <v>63</v>
      </c>
      <c r="E223" s="68" t="s">
        <v>21</v>
      </c>
      <c r="F223" s="118">
        <v>200000</v>
      </c>
      <c r="G223" s="119"/>
      <c r="H223" s="120">
        <v>200000</v>
      </c>
    </row>
    <row r="224" spans="2:8" x14ac:dyDescent="0.25">
      <c r="B224" s="63">
        <f>+B223+7</f>
        <v>45821</v>
      </c>
      <c r="C224" s="59" t="s">
        <v>43</v>
      </c>
      <c r="D224" s="93" t="s">
        <v>44</v>
      </c>
      <c r="E224" s="59" t="s">
        <v>21</v>
      </c>
      <c r="F224" s="113">
        <v>250000</v>
      </c>
      <c r="G224" s="114"/>
      <c r="H224" s="122">
        <v>250000</v>
      </c>
    </row>
    <row r="225" spans="2:15" x14ac:dyDescent="0.25">
      <c r="B225" s="63">
        <f t="shared" si="10"/>
        <v>45821</v>
      </c>
      <c r="C225" t="s">
        <v>43</v>
      </c>
      <c r="D225" s="36" t="s">
        <v>57</v>
      </c>
      <c r="E225" t="s">
        <v>21</v>
      </c>
      <c r="F225" s="116">
        <v>250000</v>
      </c>
      <c r="G225" s="57"/>
      <c r="H225" s="123">
        <v>250000</v>
      </c>
      <c r="L225" s="6"/>
      <c r="M225" s="6"/>
      <c r="N225" s="55"/>
      <c r="O225" s="11"/>
    </row>
    <row r="226" spans="2:15" x14ac:dyDescent="0.25">
      <c r="B226" s="63">
        <f t="shared" si="10"/>
        <v>45821</v>
      </c>
      <c r="C226" t="s">
        <v>43</v>
      </c>
      <c r="D226" s="36" t="s">
        <v>45</v>
      </c>
      <c r="E226" t="s">
        <v>21</v>
      </c>
      <c r="F226" s="116">
        <v>169000</v>
      </c>
      <c r="G226" s="57"/>
      <c r="H226" s="123">
        <v>169000</v>
      </c>
      <c r="I226" s="6"/>
      <c r="J226" s="55"/>
      <c r="L226" s="6"/>
      <c r="M226" s="6"/>
      <c r="N226" s="55"/>
      <c r="O226" s="11"/>
    </row>
    <row r="227" spans="2:15" x14ac:dyDescent="0.25">
      <c r="B227" s="63">
        <f t="shared" si="10"/>
        <v>45821</v>
      </c>
      <c r="C227" t="s">
        <v>43</v>
      </c>
      <c r="D227" s="36" t="s">
        <v>51</v>
      </c>
      <c r="E227" t="s">
        <v>21</v>
      </c>
      <c r="F227" s="56">
        <v>500000</v>
      </c>
      <c r="G227" s="57"/>
      <c r="H227" s="123">
        <v>500000</v>
      </c>
      <c r="I227" s="6"/>
      <c r="J227" s="55"/>
      <c r="L227" s="6"/>
      <c r="M227" s="6"/>
      <c r="N227" s="55"/>
      <c r="O227" s="11"/>
    </row>
    <row r="228" spans="2:15" x14ac:dyDescent="0.25">
      <c r="B228" s="63">
        <f t="shared" si="10"/>
        <v>45821</v>
      </c>
      <c r="C228" t="s">
        <v>43</v>
      </c>
      <c r="D228" s="36" t="s">
        <v>63</v>
      </c>
      <c r="E228" t="s">
        <v>21</v>
      </c>
      <c r="F228" s="116">
        <v>200000</v>
      </c>
      <c r="G228" s="57"/>
      <c r="H228" s="123">
        <v>200000</v>
      </c>
      <c r="I228" s="6"/>
      <c r="J228" s="55"/>
      <c r="L228" s="6"/>
      <c r="M228" s="6"/>
      <c r="N228" s="55"/>
      <c r="O228" s="11"/>
    </row>
    <row r="229" spans="2:15" x14ac:dyDescent="0.25">
      <c r="B229" s="63">
        <f t="shared" si="10"/>
        <v>45821</v>
      </c>
      <c r="C229" t="s">
        <v>43</v>
      </c>
      <c r="D229" s="36" t="s">
        <v>69</v>
      </c>
      <c r="F229" s="116">
        <v>175000</v>
      </c>
      <c r="G229" s="57"/>
      <c r="H229" s="123">
        <v>175000</v>
      </c>
      <c r="I229" s="6"/>
      <c r="J229" s="55"/>
    </row>
    <row r="230" spans="2:15" ht="15.75" thickBot="1" x14ac:dyDescent="0.3">
      <c r="B230" s="63">
        <f t="shared" si="10"/>
        <v>45821</v>
      </c>
      <c r="C230" s="68" t="s">
        <v>43</v>
      </c>
      <c r="D230" s="69" t="s">
        <v>68</v>
      </c>
      <c r="E230" s="68" t="s">
        <v>21</v>
      </c>
      <c r="F230" s="118">
        <v>500000</v>
      </c>
      <c r="G230" s="119"/>
      <c r="H230" s="124">
        <v>500000</v>
      </c>
      <c r="I230" s="6"/>
      <c r="J230" s="55"/>
    </row>
    <row r="231" spans="2:15" x14ac:dyDescent="0.25">
      <c r="B231" s="63">
        <f>+B230+7</f>
        <v>45828</v>
      </c>
      <c r="C231" s="59" t="s">
        <v>43</v>
      </c>
      <c r="D231" s="72" t="s">
        <v>44</v>
      </c>
      <c r="E231" s="59" t="s">
        <v>21</v>
      </c>
      <c r="F231" s="113">
        <v>330000</v>
      </c>
      <c r="G231" s="114"/>
      <c r="H231" s="115">
        <v>250000</v>
      </c>
      <c r="I231" s="6"/>
      <c r="J231" s="55"/>
    </row>
    <row r="232" spans="2:15" x14ac:dyDescent="0.25">
      <c r="B232" s="63">
        <f t="shared" si="10"/>
        <v>45828</v>
      </c>
      <c r="C232" t="s">
        <v>43</v>
      </c>
      <c r="D232" s="74" t="s">
        <v>45</v>
      </c>
      <c r="E232" t="s">
        <v>21</v>
      </c>
      <c r="F232" s="116"/>
      <c r="G232" s="57"/>
      <c r="H232" s="117">
        <f>+AD4</f>
        <v>204000</v>
      </c>
      <c r="I232" s="6"/>
      <c r="J232" s="55"/>
    </row>
    <row r="233" spans="2:15" x14ac:dyDescent="0.25">
      <c r="B233" s="63">
        <f t="shared" si="10"/>
        <v>45828</v>
      </c>
      <c r="C233" t="s">
        <v>43</v>
      </c>
      <c r="D233" s="74" t="s">
        <v>69</v>
      </c>
      <c r="E233" t="s">
        <v>21</v>
      </c>
      <c r="F233" s="116">
        <v>200000</v>
      </c>
      <c r="G233" s="57"/>
      <c r="H233" s="117">
        <v>175000</v>
      </c>
      <c r="I233" s="6"/>
      <c r="J233" s="55"/>
    </row>
    <row r="234" spans="2:15" x14ac:dyDescent="0.25">
      <c r="B234" s="63">
        <f t="shared" si="10"/>
        <v>45828</v>
      </c>
      <c r="C234" t="s">
        <v>43</v>
      </c>
      <c r="D234" s="74" t="s">
        <v>57</v>
      </c>
      <c r="E234" t="s">
        <v>21</v>
      </c>
      <c r="F234" s="116">
        <v>250000</v>
      </c>
      <c r="G234" s="57"/>
      <c r="H234" s="117">
        <v>250000</v>
      </c>
      <c r="I234" s="6"/>
      <c r="J234" s="55"/>
    </row>
    <row r="235" spans="2:15" x14ac:dyDescent="0.25">
      <c r="B235" s="63">
        <f t="shared" si="10"/>
        <v>45828</v>
      </c>
      <c r="C235" t="s">
        <v>43</v>
      </c>
      <c r="D235" s="36" t="s">
        <v>51</v>
      </c>
      <c r="F235" s="116">
        <v>70815.088933333653</v>
      </c>
      <c r="G235" s="57"/>
      <c r="H235" s="117">
        <f>+T416</f>
        <v>0</v>
      </c>
    </row>
    <row r="236" spans="2:15" ht="15.75" thickBot="1" x14ac:dyDescent="0.3">
      <c r="B236" s="63">
        <f>+B234</f>
        <v>45828</v>
      </c>
      <c r="C236" s="68" t="s">
        <v>43</v>
      </c>
      <c r="D236" s="75" t="s">
        <v>63</v>
      </c>
      <c r="E236" s="68" t="s">
        <v>21</v>
      </c>
      <c r="F236" s="118">
        <v>240000</v>
      </c>
      <c r="G236" s="119"/>
      <c r="H236" s="120">
        <v>200000</v>
      </c>
    </row>
    <row r="237" spans="2:15" x14ac:dyDescent="0.25">
      <c r="B237" s="26">
        <f>+B236+7</f>
        <v>45835</v>
      </c>
      <c r="C237" s="59" t="s">
        <v>43</v>
      </c>
      <c r="D237" s="93" t="s">
        <v>44</v>
      </c>
      <c r="E237" s="59" t="s">
        <v>21</v>
      </c>
      <c r="F237" s="113">
        <f>202000+94700</f>
        <v>296700</v>
      </c>
      <c r="G237" s="114"/>
      <c r="H237" s="122">
        <v>250000</v>
      </c>
    </row>
    <row r="238" spans="2:15" x14ac:dyDescent="0.25">
      <c r="B238" s="63">
        <f t="shared" si="10"/>
        <v>45835</v>
      </c>
      <c r="C238" t="s">
        <v>43</v>
      </c>
      <c r="D238" s="36" t="s">
        <v>57</v>
      </c>
      <c r="E238" t="s">
        <v>21</v>
      </c>
      <c r="F238" s="116">
        <v>250000</v>
      </c>
      <c r="G238" s="57"/>
      <c r="H238" s="123">
        <v>250000</v>
      </c>
    </row>
    <row r="239" spans="2:15" x14ac:dyDescent="0.25">
      <c r="B239" s="63">
        <f t="shared" si="10"/>
        <v>45835</v>
      </c>
      <c r="C239" t="s">
        <v>43</v>
      </c>
      <c r="D239" s="36" t="s">
        <v>45</v>
      </c>
      <c r="E239" t="s">
        <v>21</v>
      </c>
      <c r="F239" s="116">
        <v>204000</v>
      </c>
      <c r="G239" s="57"/>
      <c r="H239" s="123">
        <f>+AD4</f>
        <v>204000</v>
      </c>
    </row>
    <row r="240" spans="2:15" x14ac:dyDescent="0.25">
      <c r="B240" s="63">
        <f t="shared" si="10"/>
        <v>45835</v>
      </c>
      <c r="C240" t="s">
        <v>43</v>
      </c>
      <c r="D240" s="36" t="s">
        <v>51</v>
      </c>
      <c r="E240" t="s">
        <v>21</v>
      </c>
      <c r="F240" s="56">
        <f>500000+118437.5</f>
        <v>618437.5</v>
      </c>
      <c r="G240" s="57"/>
      <c r="H240" s="123">
        <v>500000</v>
      </c>
    </row>
    <row r="241" spans="2:13" x14ac:dyDescent="0.25">
      <c r="B241" s="63">
        <f t="shared" si="10"/>
        <v>45835</v>
      </c>
      <c r="C241" t="s">
        <v>43</v>
      </c>
      <c r="D241" s="36" t="s">
        <v>63</v>
      </c>
      <c r="E241" t="s">
        <v>21</v>
      </c>
      <c r="F241" s="116">
        <f>200000+37400</f>
        <v>237400</v>
      </c>
      <c r="G241" s="57"/>
      <c r="H241" s="123">
        <v>200000</v>
      </c>
    </row>
    <row r="242" spans="2:13" x14ac:dyDescent="0.25">
      <c r="B242" s="63">
        <f t="shared" si="10"/>
        <v>45835</v>
      </c>
      <c r="C242" t="s">
        <v>43</v>
      </c>
      <c r="D242" s="36" t="s">
        <v>69</v>
      </c>
      <c r="F242" s="116">
        <f>175000+36400</f>
        <v>211400</v>
      </c>
      <c r="G242" s="57"/>
      <c r="H242" s="123">
        <v>175000</v>
      </c>
    </row>
    <row r="243" spans="2:13" ht="15.75" thickBot="1" x14ac:dyDescent="0.3">
      <c r="B243" s="63">
        <f t="shared" si="10"/>
        <v>45835</v>
      </c>
      <c r="C243" s="68" t="s">
        <v>43</v>
      </c>
      <c r="D243" s="69" t="s">
        <v>68</v>
      </c>
      <c r="E243" s="68" t="s">
        <v>21</v>
      </c>
      <c r="F243" s="118">
        <v>500000</v>
      </c>
      <c r="G243" s="119"/>
      <c r="H243" s="124">
        <v>500000</v>
      </c>
    </row>
    <row r="244" spans="2:13" x14ac:dyDescent="0.25">
      <c r="B244" s="26">
        <v>45840</v>
      </c>
      <c r="C244" t="s">
        <v>70</v>
      </c>
      <c r="D244" t="s">
        <v>44</v>
      </c>
      <c r="F244" s="6">
        <v>500000</v>
      </c>
    </row>
    <row r="245" spans="2:13" x14ac:dyDescent="0.25">
      <c r="B245" s="26">
        <v>45840</v>
      </c>
      <c r="C245" t="s">
        <v>70</v>
      </c>
      <c r="D245" t="s">
        <v>71</v>
      </c>
      <c r="F245" s="6">
        <v>500000</v>
      </c>
    </row>
    <row r="246" spans="2:13" x14ac:dyDescent="0.25">
      <c r="B246" s="26">
        <v>45840</v>
      </c>
      <c r="C246" t="s">
        <v>70</v>
      </c>
      <c r="D246" t="s">
        <v>63</v>
      </c>
      <c r="F246" s="6">
        <v>370000</v>
      </c>
    </row>
    <row r="247" spans="2:13" x14ac:dyDescent="0.25">
      <c r="B247" s="26">
        <v>45840</v>
      </c>
      <c r="C247" t="s">
        <v>70</v>
      </c>
      <c r="D247" t="s">
        <v>51</v>
      </c>
      <c r="F247" s="6">
        <v>500000</v>
      </c>
    </row>
    <row r="248" spans="2:13" x14ac:dyDescent="0.25">
      <c r="B248" s="26">
        <v>45840</v>
      </c>
      <c r="C248" t="s">
        <v>70</v>
      </c>
      <c r="D248" t="s">
        <v>72</v>
      </c>
      <c r="F248" s="6">
        <v>220000</v>
      </c>
      <c r="H248" s="6"/>
    </row>
    <row r="249" spans="2:13" ht="15.75" thickBot="1" x14ac:dyDescent="0.3">
      <c r="B249" s="26">
        <v>45840</v>
      </c>
      <c r="C249" t="s">
        <v>70</v>
      </c>
      <c r="D249" t="s">
        <v>73</v>
      </c>
      <c r="F249" s="6">
        <v>90000</v>
      </c>
    </row>
    <row r="250" spans="2:13" x14ac:dyDescent="0.25">
      <c r="B250" s="63">
        <v>45842</v>
      </c>
      <c r="C250" s="59" t="s">
        <v>43</v>
      </c>
      <c r="D250" s="72" t="s">
        <v>44</v>
      </c>
      <c r="E250" s="59" t="s">
        <v>21</v>
      </c>
      <c r="F250" s="113">
        <v>250000</v>
      </c>
    </row>
    <row r="251" spans="2:13" x14ac:dyDescent="0.25">
      <c r="B251" s="63">
        <v>45842</v>
      </c>
      <c r="C251" t="s">
        <v>43</v>
      </c>
      <c r="D251" s="74" t="s">
        <v>45</v>
      </c>
      <c r="E251" t="s">
        <v>21</v>
      </c>
      <c r="F251" s="116">
        <v>170000</v>
      </c>
      <c r="G251" s="57"/>
    </row>
    <row r="252" spans="2:13" x14ac:dyDescent="0.25">
      <c r="B252" s="63">
        <v>45842</v>
      </c>
      <c r="C252" t="s">
        <v>43</v>
      </c>
      <c r="D252" s="74" t="s">
        <v>69</v>
      </c>
      <c r="E252" t="s">
        <v>21</v>
      </c>
      <c r="F252" s="116">
        <v>175000</v>
      </c>
      <c r="G252" s="57"/>
    </row>
    <row r="253" spans="2:13" x14ac:dyDescent="0.25">
      <c r="B253" s="63">
        <v>45842</v>
      </c>
      <c r="C253" t="s">
        <v>43</v>
      </c>
      <c r="D253" s="74" t="s">
        <v>57</v>
      </c>
      <c r="E253" t="s">
        <v>21</v>
      </c>
      <c r="F253" s="116">
        <v>250000</v>
      </c>
      <c r="G253" s="57"/>
    </row>
    <row r="254" spans="2:13" x14ac:dyDescent="0.25">
      <c r="B254" s="63">
        <v>45842</v>
      </c>
      <c r="C254" t="s">
        <v>43</v>
      </c>
      <c r="D254" s="36" t="s">
        <v>51</v>
      </c>
      <c r="F254" s="116">
        <v>19843.750000000004</v>
      </c>
      <c r="G254" s="57"/>
    </row>
    <row r="255" spans="2:13" ht="15.75" thickBot="1" x14ac:dyDescent="0.3">
      <c r="B255" s="63">
        <v>45842</v>
      </c>
      <c r="C255" s="68" t="s">
        <v>43</v>
      </c>
      <c r="D255" s="75" t="s">
        <v>63</v>
      </c>
      <c r="E255" s="68" t="s">
        <v>21</v>
      </c>
      <c r="F255" s="118">
        <v>200000</v>
      </c>
      <c r="G255" s="119"/>
    </row>
    <row r="256" spans="2:13" x14ac:dyDescent="0.25">
      <c r="B256" s="26">
        <v>45849</v>
      </c>
      <c r="C256" s="59" t="s">
        <v>43</v>
      </c>
      <c r="D256" s="93" t="s">
        <v>44</v>
      </c>
      <c r="E256" s="59" t="s">
        <v>21</v>
      </c>
      <c r="F256" s="113">
        <v>280000</v>
      </c>
      <c r="G256" s="114"/>
      <c r="H256" s="122">
        <v>280000</v>
      </c>
      <c r="I256" s="130" t="s">
        <v>74</v>
      </c>
      <c r="M256" s="6"/>
    </row>
    <row r="257" spans="2:9" x14ac:dyDescent="0.25">
      <c r="B257" s="26">
        <f>+B256</f>
        <v>45849</v>
      </c>
      <c r="C257" t="s">
        <v>43</v>
      </c>
      <c r="D257" s="36" t="s">
        <v>57</v>
      </c>
      <c r="E257" t="s">
        <v>21</v>
      </c>
      <c r="F257" s="116">
        <v>250000</v>
      </c>
      <c r="G257" s="57"/>
      <c r="H257" s="123">
        <v>250000</v>
      </c>
      <c r="I257" s="130" t="s">
        <v>75</v>
      </c>
    </row>
    <row r="258" spans="2:9" x14ac:dyDescent="0.25">
      <c r="B258" s="26">
        <f t="shared" ref="B258:B262" si="11">+B257</f>
        <v>45849</v>
      </c>
      <c r="C258" t="s">
        <v>43</v>
      </c>
      <c r="D258" s="36" t="s">
        <v>45</v>
      </c>
      <c r="E258" t="s">
        <v>21</v>
      </c>
      <c r="F258" s="116">
        <v>137000</v>
      </c>
      <c r="G258" s="57"/>
      <c r="H258" s="123">
        <f>+magui</f>
        <v>204000</v>
      </c>
      <c r="I258" s="130" t="s">
        <v>76</v>
      </c>
    </row>
    <row r="259" spans="2:9" x14ac:dyDescent="0.25">
      <c r="B259" s="26">
        <f t="shared" si="11"/>
        <v>45849</v>
      </c>
      <c r="C259" t="s">
        <v>43</v>
      </c>
      <c r="D259" s="36" t="s">
        <v>51</v>
      </c>
      <c r="E259" t="s">
        <v>21</v>
      </c>
      <c r="F259" s="56">
        <v>560000</v>
      </c>
      <c r="G259" s="57"/>
      <c r="H259" s="123">
        <f>+H256*2</f>
        <v>560000</v>
      </c>
      <c r="I259" s="130" t="s">
        <v>77</v>
      </c>
    </row>
    <row r="260" spans="2:9" x14ac:dyDescent="0.25">
      <c r="B260" s="26">
        <f t="shared" si="11"/>
        <v>45849</v>
      </c>
      <c r="C260" t="s">
        <v>43</v>
      </c>
      <c r="D260" s="36" t="s">
        <v>63</v>
      </c>
      <c r="E260" t="s">
        <v>21</v>
      </c>
      <c r="F260" s="116">
        <v>274300</v>
      </c>
      <c r="G260" s="57"/>
      <c r="H260" s="123">
        <v>230000</v>
      </c>
      <c r="I260" s="130" t="s">
        <v>78</v>
      </c>
    </row>
    <row r="261" spans="2:9" x14ac:dyDescent="0.25">
      <c r="B261" s="26">
        <f t="shared" si="11"/>
        <v>45849</v>
      </c>
      <c r="C261" t="s">
        <v>43</v>
      </c>
      <c r="D261" s="36" t="s">
        <v>69</v>
      </c>
      <c r="F261" s="116">
        <v>279500</v>
      </c>
      <c r="G261" s="57"/>
      <c r="H261" s="123">
        <v>200000</v>
      </c>
      <c r="I261" s="130" t="s">
        <v>79</v>
      </c>
    </row>
    <row r="262" spans="2:9" ht="15.75" thickBot="1" x14ac:dyDescent="0.3">
      <c r="B262" s="26">
        <f t="shared" si="11"/>
        <v>45849</v>
      </c>
      <c r="C262" s="68" t="s">
        <v>43</v>
      </c>
      <c r="D262" s="69" t="s">
        <v>68</v>
      </c>
      <c r="E262" s="68" t="s">
        <v>21</v>
      </c>
      <c r="F262" s="118">
        <v>500000</v>
      </c>
      <c r="G262" s="119"/>
      <c r="H262" s="124">
        <v>500000</v>
      </c>
      <c r="I262" s="130" t="s">
        <v>80</v>
      </c>
    </row>
    <row r="263" spans="2:9" x14ac:dyDescent="0.25">
      <c r="B263" s="63">
        <f>+B262+7</f>
        <v>45856</v>
      </c>
      <c r="C263" s="59" t="s">
        <v>43</v>
      </c>
      <c r="D263" s="72" t="s">
        <v>44</v>
      </c>
      <c r="E263" s="59" t="s">
        <v>21</v>
      </c>
      <c r="F263" s="113">
        <f>250000+78600+39400</f>
        <v>368000</v>
      </c>
      <c r="H263" s="123">
        <v>280000</v>
      </c>
    </row>
    <row r="264" spans="2:9" x14ac:dyDescent="0.25">
      <c r="B264" s="63">
        <f t="shared" ref="B264:B266" si="12">+B263</f>
        <v>45856</v>
      </c>
      <c r="C264" t="s">
        <v>43</v>
      </c>
      <c r="D264" s="74" t="s">
        <v>45</v>
      </c>
      <c r="E264" t="s">
        <v>21</v>
      </c>
      <c r="F264" s="116">
        <v>150000</v>
      </c>
      <c r="H264" s="123">
        <f>+magui</f>
        <v>204000</v>
      </c>
    </row>
    <row r="265" spans="2:9" x14ac:dyDescent="0.25">
      <c r="B265" s="63">
        <f t="shared" si="12"/>
        <v>45856</v>
      </c>
      <c r="C265" t="s">
        <v>43</v>
      </c>
      <c r="D265" s="74" t="s">
        <v>69</v>
      </c>
      <c r="E265" t="s">
        <v>21</v>
      </c>
      <c r="F265" s="116">
        <f>188100+100000</f>
        <v>288100</v>
      </c>
      <c r="H265" s="123">
        <v>200000</v>
      </c>
    </row>
    <row r="266" spans="2:9" x14ac:dyDescent="0.25">
      <c r="B266" s="63">
        <f t="shared" si="12"/>
        <v>45856</v>
      </c>
      <c r="C266" t="s">
        <v>43</v>
      </c>
      <c r="D266" s="74" t="s">
        <v>57</v>
      </c>
      <c r="E266" t="s">
        <v>21</v>
      </c>
      <c r="F266" s="116">
        <f>213000+37000</f>
        <v>250000</v>
      </c>
      <c r="H266" s="123">
        <v>250000</v>
      </c>
    </row>
    <row r="267" spans="2:9" ht="15.75" thickBot="1" x14ac:dyDescent="0.3">
      <c r="B267" s="63">
        <f>+B265</f>
        <v>45856</v>
      </c>
      <c r="C267" s="68" t="s">
        <v>43</v>
      </c>
      <c r="D267" s="75" t="s">
        <v>63</v>
      </c>
      <c r="E267" s="68" t="s">
        <v>21</v>
      </c>
      <c r="F267" s="118">
        <f>200000+79000</f>
        <v>279000</v>
      </c>
      <c r="H267" s="123">
        <v>230000</v>
      </c>
    </row>
    <row r="268" spans="2:9" x14ac:dyDescent="0.25">
      <c r="B268" s="26">
        <f>+B267+7</f>
        <v>45863</v>
      </c>
      <c r="C268" s="59" t="s">
        <v>43</v>
      </c>
      <c r="D268" s="93" t="s">
        <v>44</v>
      </c>
      <c r="E268" s="59" t="s">
        <v>21</v>
      </c>
      <c r="F268" s="132">
        <f>100000+253700</f>
        <v>353700</v>
      </c>
      <c r="G268" s="114"/>
      <c r="H268" s="122">
        <v>280000</v>
      </c>
    </row>
    <row r="269" spans="2:9" x14ac:dyDescent="0.25">
      <c r="B269" s="26">
        <f>+B268</f>
        <v>45863</v>
      </c>
      <c r="C269" t="s">
        <v>43</v>
      </c>
      <c r="D269" s="36" t="s">
        <v>57</v>
      </c>
      <c r="E269" t="s">
        <v>21</v>
      </c>
      <c r="F269" s="133">
        <f>150000+100000</f>
        <v>250000</v>
      </c>
      <c r="G269" s="57"/>
      <c r="H269" s="123">
        <v>250000</v>
      </c>
    </row>
    <row r="270" spans="2:9" x14ac:dyDescent="0.25">
      <c r="B270" s="26">
        <f t="shared" ref="B270:B274" si="13">+B269</f>
        <v>45863</v>
      </c>
      <c r="C270" t="s">
        <v>43</v>
      </c>
      <c r="D270" s="36" t="s">
        <v>45</v>
      </c>
      <c r="E270" t="s">
        <v>21</v>
      </c>
      <c r="F270" s="133">
        <v>122000</v>
      </c>
      <c r="G270" s="57"/>
      <c r="H270" s="123">
        <v>0</v>
      </c>
    </row>
    <row r="271" spans="2:9" x14ac:dyDescent="0.25">
      <c r="B271" s="26">
        <f t="shared" si="13"/>
        <v>45863</v>
      </c>
      <c r="C271" t="s">
        <v>43</v>
      </c>
      <c r="D271" s="36" t="s">
        <v>51</v>
      </c>
      <c r="E271" t="s">
        <v>21</v>
      </c>
      <c r="F271" s="56">
        <f>600000+83700+22950</f>
        <v>706650</v>
      </c>
      <c r="G271" s="57"/>
      <c r="H271" s="123">
        <f>+H268*2</f>
        <v>560000</v>
      </c>
      <c r="I271" s="126" cm="1">
        <f t="array" aca="1" ref="I271" ca="1">IFERROR(INDIRECT(tMov[[#This Row],[Detalle]]),0)</f>
        <v>0</v>
      </c>
    </row>
    <row r="272" spans="2:9" x14ac:dyDescent="0.25">
      <c r="B272" s="26">
        <f t="shared" si="13"/>
        <v>45863</v>
      </c>
      <c r="C272" t="s">
        <v>43</v>
      </c>
      <c r="D272" s="36" t="s">
        <v>63</v>
      </c>
      <c r="E272" t="s">
        <v>21</v>
      </c>
      <c r="F272" s="133">
        <f>200000+127500+3600</f>
        <v>331100</v>
      </c>
      <c r="G272" s="57"/>
      <c r="H272" s="123">
        <v>230000</v>
      </c>
    </row>
    <row r="273" spans="2:11" x14ac:dyDescent="0.25">
      <c r="B273" s="26">
        <f t="shared" si="13"/>
        <v>45863</v>
      </c>
      <c r="C273" t="s">
        <v>43</v>
      </c>
      <c r="D273" s="36" t="s">
        <v>69</v>
      </c>
      <c r="F273" s="133">
        <f>150000+127800</f>
        <v>277800</v>
      </c>
      <c r="G273" s="57"/>
      <c r="H273" s="123">
        <v>200000</v>
      </c>
    </row>
    <row r="274" spans="2:11" ht="15.75" thickBot="1" x14ac:dyDescent="0.3">
      <c r="B274" s="26">
        <f t="shared" si="13"/>
        <v>45863</v>
      </c>
      <c r="C274" s="68" t="s">
        <v>43</v>
      </c>
      <c r="D274" s="69" t="s">
        <v>68</v>
      </c>
      <c r="E274" s="68" t="s">
        <v>21</v>
      </c>
      <c r="F274" s="118">
        <f>312000+85000+103000</f>
        <v>500000</v>
      </c>
      <c r="G274" s="119"/>
      <c r="H274" s="124">
        <v>500000</v>
      </c>
    </row>
    <row r="275" spans="2:11" x14ac:dyDescent="0.25">
      <c r="B275" s="63">
        <f>+B274+7</f>
        <v>45870</v>
      </c>
      <c r="C275" s="59" t="s">
        <v>43</v>
      </c>
      <c r="D275" s="72" t="s">
        <v>44</v>
      </c>
      <c r="E275" s="59" t="s">
        <v>21</v>
      </c>
      <c r="F275" s="113">
        <f>300000+65200</f>
        <v>365200</v>
      </c>
      <c r="H275" s="123">
        <v>280000</v>
      </c>
    </row>
    <row r="276" spans="2:11" x14ac:dyDescent="0.25">
      <c r="B276" s="63">
        <f t="shared" ref="B276:B278" si="14">+B275</f>
        <v>45870</v>
      </c>
      <c r="C276" t="s">
        <v>43</v>
      </c>
      <c r="D276" s="74" t="s">
        <v>45</v>
      </c>
      <c r="E276" t="s">
        <v>21</v>
      </c>
      <c r="F276" s="116">
        <v>130000</v>
      </c>
      <c r="H276" s="123">
        <f>+magui</f>
        <v>204000</v>
      </c>
    </row>
    <row r="277" spans="2:11" x14ac:dyDescent="0.25">
      <c r="B277" s="63">
        <f t="shared" si="14"/>
        <v>45870</v>
      </c>
      <c r="C277" t="s">
        <v>43</v>
      </c>
      <c r="D277" s="74" t="s">
        <v>69</v>
      </c>
      <c r="E277" t="s">
        <v>21</v>
      </c>
      <c r="F277" s="116">
        <v>246300</v>
      </c>
      <c r="H277" s="123">
        <v>200000</v>
      </c>
    </row>
    <row r="278" spans="2:11" x14ac:dyDescent="0.25">
      <c r="B278" s="63">
        <f t="shared" si="14"/>
        <v>45870</v>
      </c>
      <c r="C278" t="s">
        <v>43</v>
      </c>
      <c r="D278" s="74" t="s">
        <v>57</v>
      </c>
      <c r="E278" t="s">
        <v>21</v>
      </c>
      <c r="F278" s="116">
        <v>250000</v>
      </c>
      <c r="H278" s="123">
        <v>250000</v>
      </c>
    </row>
    <row r="279" spans="2:11" ht="15.75" thickBot="1" x14ac:dyDescent="0.3">
      <c r="B279" s="63">
        <f>+B277</f>
        <v>45870</v>
      </c>
      <c r="C279" t="s">
        <v>43</v>
      </c>
      <c r="D279" s="74" t="s">
        <v>63</v>
      </c>
      <c r="E279" t="s">
        <v>21</v>
      </c>
      <c r="F279" s="116">
        <f>150000+144600</f>
        <v>294600</v>
      </c>
      <c r="H279" s="123">
        <v>230000</v>
      </c>
      <c r="I279" s="57"/>
    </row>
    <row r="280" spans="2:11" x14ac:dyDescent="0.25">
      <c r="B280" s="58">
        <f>+B279+7</f>
        <v>45877</v>
      </c>
      <c r="C280" s="59" t="s">
        <v>43</v>
      </c>
      <c r="D280" s="93" t="s">
        <v>44</v>
      </c>
      <c r="E280" s="59" t="s">
        <v>21</v>
      </c>
      <c r="F280" s="132">
        <f>300000+38600</f>
        <v>338600</v>
      </c>
      <c r="G280" s="114"/>
      <c r="H280" s="122">
        <v>280000</v>
      </c>
      <c r="I280" s="57"/>
    </row>
    <row r="281" spans="2:11" x14ac:dyDescent="0.25">
      <c r="B281" s="63">
        <f>+B280</f>
        <v>45877</v>
      </c>
      <c r="C281" t="s">
        <v>43</v>
      </c>
      <c r="D281" s="36" t="s">
        <v>57</v>
      </c>
      <c r="E281" t="s">
        <v>21</v>
      </c>
      <c r="F281" s="133">
        <v>250000</v>
      </c>
      <c r="G281" s="57"/>
      <c r="H281" s="123">
        <v>250000</v>
      </c>
      <c r="I281" s="57"/>
    </row>
    <row r="282" spans="2:11" x14ac:dyDescent="0.25">
      <c r="B282" s="63">
        <f t="shared" ref="B282:B286" si="15">+B281</f>
        <v>45877</v>
      </c>
      <c r="C282" t="s">
        <v>43</v>
      </c>
      <c r="D282" s="36" t="s">
        <v>45</v>
      </c>
      <c r="E282" t="s">
        <v>21</v>
      </c>
      <c r="F282" s="133">
        <v>183000</v>
      </c>
      <c r="G282" s="57"/>
      <c r="H282" s="123">
        <v>0</v>
      </c>
      <c r="I282" s="57"/>
    </row>
    <row r="283" spans="2:11" x14ac:dyDescent="0.25">
      <c r="B283" s="63">
        <f t="shared" si="15"/>
        <v>45877</v>
      </c>
      <c r="C283" t="s">
        <v>43</v>
      </c>
      <c r="D283" s="36" t="s">
        <v>51</v>
      </c>
      <c r="E283" t="s">
        <v>21</v>
      </c>
      <c r="F283" s="116">
        <f>500000+151200</f>
        <v>651200</v>
      </c>
      <c r="G283" s="57"/>
      <c r="H283" s="123">
        <f>+H280*2</f>
        <v>560000</v>
      </c>
      <c r="I283" s="57"/>
    </row>
    <row r="284" spans="2:11" x14ac:dyDescent="0.25">
      <c r="B284" s="63">
        <f t="shared" si="15"/>
        <v>45877</v>
      </c>
      <c r="C284" t="s">
        <v>43</v>
      </c>
      <c r="D284" s="36" t="s">
        <v>63</v>
      </c>
      <c r="E284" t="s">
        <v>21</v>
      </c>
      <c r="F284" s="133">
        <f>230000+59900</f>
        <v>289900</v>
      </c>
      <c r="G284" s="57"/>
      <c r="H284" s="123">
        <v>230000</v>
      </c>
      <c r="I284" s="57"/>
    </row>
    <row r="285" spans="2:11" x14ac:dyDescent="0.25">
      <c r="B285" s="63">
        <f t="shared" si="15"/>
        <v>45877</v>
      </c>
      <c r="C285" t="s">
        <v>43</v>
      </c>
      <c r="D285" s="36" t="s">
        <v>69</v>
      </c>
      <c r="F285" s="133">
        <f>200000+90800</f>
        <v>290800</v>
      </c>
      <c r="G285" s="57"/>
      <c r="H285" s="123">
        <v>200000</v>
      </c>
      <c r="I285" s="57"/>
      <c r="K285" s="127" t="s">
        <v>81</v>
      </c>
    </row>
    <row r="286" spans="2:11" ht="15.75" thickBot="1" x14ac:dyDescent="0.3">
      <c r="B286" s="67">
        <f t="shared" si="15"/>
        <v>45877</v>
      </c>
      <c r="C286" t="s">
        <v>43</v>
      </c>
      <c r="D286" s="69" t="s">
        <v>68</v>
      </c>
      <c r="E286" s="68" t="s">
        <v>21</v>
      </c>
      <c r="F286" s="118">
        <v>500000</v>
      </c>
      <c r="G286" s="119"/>
      <c r="H286" s="124">
        <v>500000</v>
      </c>
      <c r="I286" s="57"/>
      <c r="K286" s="134"/>
    </row>
    <row r="287" spans="2:11" x14ac:dyDescent="0.25">
      <c r="B287" s="63">
        <f>+B286+7</f>
        <v>45884</v>
      </c>
      <c r="C287" s="59" t="s">
        <v>43</v>
      </c>
      <c r="D287" s="72" t="s">
        <v>44</v>
      </c>
      <c r="E287" s="59" t="s">
        <v>21</v>
      </c>
      <c r="F287" s="113">
        <f>90000+150000+40000</f>
        <v>280000</v>
      </c>
      <c r="H287" s="123">
        <v>280000</v>
      </c>
      <c r="I287" s="57"/>
      <c r="K287" s="127" t="s">
        <v>82</v>
      </c>
    </row>
    <row r="288" spans="2:11" x14ac:dyDescent="0.25">
      <c r="B288" s="63">
        <f>+B287</f>
        <v>45884</v>
      </c>
      <c r="C288" t="s">
        <v>43</v>
      </c>
      <c r="D288" s="74" t="s">
        <v>45</v>
      </c>
      <c r="E288" t="s">
        <v>21</v>
      </c>
      <c r="F288" s="116">
        <v>144000</v>
      </c>
      <c r="H288" s="123"/>
      <c r="I288" s="57"/>
      <c r="K288" s="134"/>
    </row>
    <row r="289" spans="2:9" x14ac:dyDescent="0.25">
      <c r="B289" s="63">
        <f>+B288</f>
        <v>45884</v>
      </c>
      <c r="C289" t="s">
        <v>43</v>
      </c>
      <c r="D289" s="74" t="s">
        <v>69</v>
      </c>
      <c r="E289" t="s">
        <v>21</v>
      </c>
      <c r="F289" s="116">
        <f>82000+118000+25550</f>
        <v>225550</v>
      </c>
      <c r="H289" s="123">
        <v>200000</v>
      </c>
      <c r="I289" s="57"/>
    </row>
    <row r="290" spans="2:9" x14ac:dyDescent="0.25">
      <c r="B290" s="63">
        <f t="shared" ref="B290:B357" si="16">+B289</f>
        <v>45884</v>
      </c>
      <c r="C290" t="s">
        <v>43</v>
      </c>
      <c r="D290" s="74" t="s">
        <v>57</v>
      </c>
      <c r="E290" t="s">
        <v>21</v>
      </c>
      <c r="F290" s="116">
        <v>250000</v>
      </c>
      <c r="H290" s="123">
        <v>250000</v>
      </c>
      <c r="I290" s="57"/>
    </row>
    <row r="291" spans="2:9" ht="15.75" thickBot="1" x14ac:dyDescent="0.3">
      <c r="B291" s="67">
        <f t="shared" si="16"/>
        <v>45884</v>
      </c>
      <c r="C291" t="s">
        <v>43</v>
      </c>
      <c r="D291" s="74" t="s">
        <v>63</v>
      </c>
      <c r="E291" t="s">
        <v>21</v>
      </c>
      <c r="F291" s="118">
        <f>247000+60000-300</f>
        <v>306700</v>
      </c>
      <c r="G291" s="119"/>
      <c r="H291" s="123">
        <v>230000</v>
      </c>
      <c r="I291" s="57"/>
    </row>
    <row r="292" spans="2:9" x14ac:dyDescent="0.25">
      <c r="B292" s="63">
        <f>+B291+7</f>
        <v>45891</v>
      </c>
      <c r="C292" s="59" t="s">
        <v>43</v>
      </c>
      <c r="D292" s="93" t="s">
        <v>44</v>
      </c>
      <c r="E292" s="59" t="s">
        <v>21</v>
      </c>
      <c r="F292" s="135">
        <f>157018+179500</f>
        <v>336518</v>
      </c>
      <c r="H292" s="122">
        <v>280000</v>
      </c>
    </row>
    <row r="293" spans="2:9" x14ac:dyDescent="0.25">
      <c r="B293" s="63">
        <f t="shared" si="16"/>
        <v>45891</v>
      </c>
      <c r="C293" t="s">
        <v>43</v>
      </c>
      <c r="D293" s="36" t="s">
        <v>57</v>
      </c>
      <c r="E293" t="s">
        <v>21</v>
      </c>
      <c r="F293" s="135">
        <v>250000</v>
      </c>
      <c r="H293" s="123">
        <v>250000</v>
      </c>
    </row>
    <row r="294" spans="2:9" x14ac:dyDescent="0.25">
      <c r="B294" s="63">
        <f t="shared" si="16"/>
        <v>45891</v>
      </c>
      <c r="C294" t="s">
        <v>43</v>
      </c>
      <c r="D294" s="36" t="s">
        <v>45</v>
      </c>
      <c r="E294" t="s">
        <v>21</v>
      </c>
      <c r="F294" s="135">
        <v>126000</v>
      </c>
      <c r="H294" s="123">
        <v>0</v>
      </c>
    </row>
    <row r="295" spans="2:9" x14ac:dyDescent="0.25">
      <c r="B295" s="63">
        <f t="shared" si="16"/>
        <v>45891</v>
      </c>
      <c r="C295" t="s">
        <v>43</v>
      </c>
      <c r="D295" s="36" t="s">
        <v>51</v>
      </c>
      <c r="E295" t="s">
        <v>21</v>
      </c>
      <c r="F295" s="135">
        <f>560000+50000+65600</f>
        <v>675600</v>
      </c>
      <c r="H295" s="123">
        <f>+H292*2</f>
        <v>560000</v>
      </c>
    </row>
    <row r="296" spans="2:9" x14ac:dyDescent="0.25">
      <c r="B296" s="63">
        <f t="shared" si="16"/>
        <v>45891</v>
      </c>
      <c r="C296" t="s">
        <v>43</v>
      </c>
      <c r="D296" s="36" t="s">
        <v>63</v>
      </c>
      <c r="E296" t="s">
        <v>21</v>
      </c>
      <c r="F296" s="135">
        <f>230000+63700</f>
        <v>293700</v>
      </c>
      <c r="H296" s="123">
        <v>230000</v>
      </c>
    </row>
    <row r="297" spans="2:9" x14ac:dyDescent="0.25">
      <c r="B297" s="63">
        <f t="shared" si="16"/>
        <v>45891</v>
      </c>
      <c r="C297" t="s">
        <v>43</v>
      </c>
      <c r="D297" s="36" t="s">
        <v>69</v>
      </c>
      <c r="F297" s="135">
        <f>200000+95000</f>
        <v>295000</v>
      </c>
      <c r="H297" s="123">
        <v>200000</v>
      </c>
    </row>
    <row r="298" spans="2:9" ht="15.75" thickBot="1" x14ac:dyDescent="0.3">
      <c r="B298" s="67">
        <f t="shared" si="16"/>
        <v>45891</v>
      </c>
      <c r="C298" t="s">
        <v>43</v>
      </c>
      <c r="D298" s="36" t="s">
        <v>68</v>
      </c>
      <c r="E298" t="s">
        <v>21</v>
      </c>
      <c r="F298" s="118">
        <v>500000</v>
      </c>
      <c r="G298" s="119"/>
      <c r="H298" s="123">
        <v>500000</v>
      </c>
    </row>
    <row r="299" spans="2:9" x14ac:dyDescent="0.25">
      <c r="B299" s="63">
        <f>+B298+7</f>
        <v>45898</v>
      </c>
      <c r="C299" s="59" t="s">
        <v>43</v>
      </c>
      <c r="D299" s="72" t="s">
        <v>44</v>
      </c>
      <c r="E299" s="59" t="s">
        <v>21</v>
      </c>
      <c r="F299" s="113">
        <f>51000+121333+40000+70000</f>
        <v>282333</v>
      </c>
      <c r="H299" s="122">
        <v>280000</v>
      </c>
    </row>
    <row r="300" spans="2:9" x14ac:dyDescent="0.25">
      <c r="B300" s="63">
        <f t="shared" si="16"/>
        <v>45898</v>
      </c>
      <c r="C300" t="s">
        <v>43</v>
      </c>
      <c r="D300" s="74" t="s">
        <v>45</v>
      </c>
      <c r="E300" t="s">
        <v>21</v>
      </c>
      <c r="F300" s="116">
        <v>219000</v>
      </c>
      <c r="H300" s="123">
        <f>+magui</f>
        <v>204000</v>
      </c>
    </row>
    <row r="301" spans="2:9" x14ac:dyDescent="0.25">
      <c r="B301" s="63">
        <f t="shared" si="16"/>
        <v>45898</v>
      </c>
      <c r="C301" t="s">
        <v>43</v>
      </c>
      <c r="D301" s="74" t="s">
        <v>69</v>
      </c>
      <c r="E301" t="s">
        <v>21</v>
      </c>
      <c r="F301" s="116">
        <f>200000+122900</f>
        <v>322900</v>
      </c>
      <c r="H301" s="123">
        <v>200000</v>
      </c>
    </row>
    <row r="302" spans="2:9" x14ac:dyDescent="0.25">
      <c r="B302" s="63">
        <f t="shared" si="16"/>
        <v>45898</v>
      </c>
      <c r="C302" t="s">
        <v>43</v>
      </c>
      <c r="D302" s="74" t="s">
        <v>57</v>
      </c>
      <c r="E302" t="s">
        <v>21</v>
      </c>
      <c r="F302" s="116">
        <v>250000</v>
      </c>
      <c r="H302" s="123">
        <v>250000</v>
      </c>
    </row>
    <row r="303" spans="2:9" ht="15.75" thickBot="1" x14ac:dyDescent="0.3">
      <c r="B303" s="67">
        <f t="shared" si="16"/>
        <v>45898</v>
      </c>
      <c r="C303" t="s">
        <v>43</v>
      </c>
      <c r="D303" s="74" t="s">
        <v>63</v>
      </c>
      <c r="E303" t="s">
        <v>21</v>
      </c>
      <c r="F303" s="118">
        <f>230000+55600</f>
        <v>285600</v>
      </c>
      <c r="G303" s="119"/>
      <c r="H303" s="123">
        <v>230000</v>
      </c>
    </row>
    <row r="304" spans="2:9" x14ac:dyDescent="0.25">
      <c r="B304" s="63">
        <f>+B303+7</f>
        <v>45905</v>
      </c>
      <c r="C304" s="59" t="s">
        <v>43</v>
      </c>
      <c r="D304" s="93" t="s">
        <v>44</v>
      </c>
      <c r="E304" s="59" t="s">
        <v>21</v>
      </c>
      <c r="F304" s="135">
        <v>280000</v>
      </c>
      <c r="H304" s="122">
        <v>280000</v>
      </c>
    </row>
    <row r="305" spans="2:11" x14ac:dyDescent="0.25">
      <c r="B305" s="63">
        <f t="shared" si="16"/>
        <v>45905</v>
      </c>
      <c r="C305" t="s">
        <v>43</v>
      </c>
      <c r="D305" s="36" t="s">
        <v>57</v>
      </c>
      <c r="E305" t="s">
        <v>21</v>
      </c>
      <c r="F305" s="135">
        <v>250000</v>
      </c>
      <c r="H305" s="123">
        <v>250000</v>
      </c>
    </row>
    <row r="306" spans="2:11" x14ac:dyDescent="0.25">
      <c r="B306" s="63">
        <f t="shared" si="16"/>
        <v>45905</v>
      </c>
      <c r="C306" t="s">
        <v>43</v>
      </c>
      <c r="D306" s="36" t="s">
        <v>45</v>
      </c>
      <c r="E306" t="s">
        <v>21</v>
      </c>
      <c r="F306" s="135">
        <f>72000+110000</f>
        <v>182000</v>
      </c>
      <c r="H306" s="123">
        <v>0</v>
      </c>
    </row>
    <row r="307" spans="2:11" x14ac:dyDescent="0.25">
      <c r="B307" s="63">
        <f t="shared" si="16"/>
        <v>45905</v>
      </c>
      <c r="C307" t="s">
        <v>43</v>
      </c>
      <c r="D307" s="36" t="s">
        <v>51</v>
      </c>
      <c r="E307" t="s">
        <v>21</v>
      </c>
      <c r="F307" s="135">
        <f>50000+560000+52550</f>
        <v>662550</v>
      </c>
      <c r="H307" s="123">
        <f>+H304*2</f>
        <v>560000</v>
      </c>
    </row>
    <row r="308" spans="2:11" x14ac:dyDescent="0.25">
      <c r="B308" s="63">
        <f t="shared" si="16"/>
        <v>45905</v>
      </c>
      <c r="C308" t="s">
        <v>43</v>
      </c>
      <c r="D308" s="36" t="s">
        <v>63</v>
      </c>
      <c r="E308" t="s">
        <v>21</v>
      </c>
      <c r="F308" s="135">
        <f>230000+121300</f>
        <v>351300</v>
      </c>
      <c r="H308" s="123">
        <v>230000</v>
      </c>
    </row>
    <row r="309" spans="2:11" x14ac:dyDescent="0.25">
      <c r="B309" s="63">
        <f t="shared" si="16"/>
        <v>45905</v>
      </c>
      <c r="C309" t="s">
        <v>43</v>
      </c>
      <c r="D309" s="36" t="s">
        <v>69</v>
      </c>
      <c r="F309" s="135">
        <v>260000</v>
      </c>
      <c r="H309" s="123">
        <v>200000</v>
      </c>
    </row>
    <row r="310" spans="2:11" ht="15.75" thickBot="1" x14ac:dyDescent="0.3">
      <c r="B310" s="67">
        <f t="shared" si="16"/>
        <v>45905</v>
      </c>
      <c r="C310" t="s">
        <v>43</v>
      </c>
      <c r="D310" s="36" t="s">
        <v>68</v>
      </c>
      <c r="E310" t="s">
        <v>21</v>
      </c>
      <c r="F310" s="118">
        <v>500000</v>
      </c>
      <c r="G310" s="119"/>
      <c r="H310" s="123">
        <v>500000</v>
      </c>
      <c r="J310" s="55"/>
    </row>
    <row r="311" spans="2:11" x14ac:dyDescent="0.25">
      <c r="B311" s="63">
        <f>+B310+7</f>
        <v>45912</v>
      </c>
      <c r="C311" s="59" t="s">
        <v>43</v>
      </c>
      <c r="D311" s="72" t="s">
        <v>44</v>
      </c>
      <c r="E311" s="59" t="s">
        <v>21</v>
      </c>
      <c r="F311" s="113">
        <f>280000+102000</f>
        <v>382000</v>
      </c>
      <c r="H311" s="122">
        <v>280000</v>
      </c>
      <c r="J311" s="55"/>
    </row>
    <row r="312" spans="2:11" x14ac:dyDescent="0.25">
      <c r="B312" s="63">
        <f t="shared" si="16"/>
        <v>45912</v>
      </c>
      <c r="C312" t="s">
        <v>43</v>
      </c>
      <c r="D312" s="74" t="s">
        <v>45</v>
      </c>
      <c r="E312" t="s">
        <v>21</v>
      </c>
      <c r="F312" s="116">
        <f>100000+112000</f>
        <v>212000</v>
      </c>
      <c r="H312" s="123">
        <f>+magui</f>
        <v>204000</v>
      </c>
      <c r="J312" s="55"/>
    </row>
    <row r="313" spans="2:11" x14ac:dyDescent="0.25">
      <c r="B313" s="63">
        <f t="shared" si="16"/>
        <v>45912</v>
      </c>
      <c r="C313" t="s">
        <v>43</v>
      </c>
      <c r="D313" s="74" t="s">
        <v>69</v>
      </c>
      <c r="E313" t="s">
        <v>21</v>
      </c>
      <c r="F313" s="116">
        <f>200000+105500</f>
        <v>305500</v>
      </c>
      <c r="H313" s="123">
        <v>200000</v>
      </c>
      <c r="J313" s="55"/>
    </row>
    <row r="314" spans="2:11" x14ac:dyDescent="0.25">
      <c r="B314" s="63">
        <f t="shared" si="16"/>
        <v>45912</v>
      </c>
      <c r="C314" t="s">
        <v>43</v>
      </c>
      <c r="D314" s="74" t="s">
        <v>57</v>
      </c>
      <c r="E314" t="s">
        <v>21</v>
      </c>
      <c r="F314" s="116">
        <v>250000</v>
      </c>
      <c r="H314" s="123">
        <v>250000</v>
      </c>
      <c r="I314" s="55"/>
      <c r="J314" s="55"/>
    </row>
    <row r="315" spans="2:11" ht="15.75" thickBot="1" x14ac:dyDescent="0.3">
      <c r="B315" s="67">
        <f t="shared" si="16"/>
        <v>45912</v>
      </c>
      <c r="C315" t="s">
        <v>43</v>
      </c>
      <c r="D315" s="74" t="s">
        <v>63</v>
      </c>
      <c r="E315" t="s">
        <v>21</v>
      </c>
      <c r="F315" s="118">
        <f>15000+160700</f>
        <v>175700</v>
      </c>
      <c r="G315" s="119"/>
      <c r="H315" s="123">
        <v>0</v>
      </c>
      <c r="I315" s="55"/>
      <c r="J315" s="55"/>
    </row>
    <row r="316" spans="2:11" x14ac:dyDescent="0.25">
      <c r="B316" s="63">
        <f>+B315+7</f>
        <v>45919</v>
      </c>
      <c r="C316" s="59" t="s">
        <v>43</v>
      </c>
      <c r="D316" s="93" t="s">
        <v>44</v>
      </c>
      <c r="E316" s="59" t="s">
        <v>21</v>
      </c>
      <c r="F316" s="113">
        <v>300000</v>
      </c>
      <c r="H316" s="122">
        <v>300000</v>
      </c>
      <c r="I316" s="55"/>
      <c r="J316" s="55"/>
      <c r="K316" s="55"/>
    </row>
    <row r="317" spans="2:11" x14ac:dyDescent="0.25">
      <c r="B317" s="63">
        <f t="shared" si="16"/>
        <v>45919</v>
      </c>
      <c r="C317" t="s">
        <v>43</v>
      </c>
      <c r="D317" s="36" t="s">
        <v>57</v>
      </c>
      <c r="E317" t="s">
        <v>21</v>
      </c>
      <c r="F317" s="116">
        <v>250000</v>
      </c>
      <c r="H317" s="123">
        <v>250000</v>
      </c>
      <c r="I317" s="55"/>
      <c r="J317" s="55"/>
      <c r="K317" s="55"/>
    </row>
    <row r="318" spans="2:11" x14ac:dyDescent="0.25">
      <c r="B318" s="63">
        <f t="shared" si="16"/>
        <v>45919</v>
      </c>
      <c r="C318" t="s">
        <v>43</v>
      </c>
      <c r="D318" s="36" t="s">
        <v>45</v>
      </c>
      <c r="E318" t="s">
        <v>21</v>
      </c>
      <c r="F318" s="116">
        <v>160000</v>
      </c>
      <c r="H318" s="123">
        <v>0</v>
      </c>
      <c r="I318" s="55"/>
      <c r="J318" s="55"/>
      <c r="K318" s="55"/>
    </row>
    <row r="319" spans="2:11" x14ac:dyDescent="0.25">
      <c r="B319" s="63">
        <f t="shared" si="16"/>
        <v>45919</v>
      </c>
      <c r="C319" t="s">
        <v>43</v>
      </c>
      <c r="D319" s="36" t="s">
        <v>51</v>
      </c>
      <c r="E319" t="s">
        <v>21</v>
      </c>
      <c r="F319" s="116">
        <f>560000+90000+126200</f>
        <v>776200</v>
      </c>
      <c r="H319" s="123">
        <v>650000</v>
      </c>
      <c r="I319" s="55"/>
      <c r="J319" s="55"/>
      <c r="K319" s="55"/>
    </row>
    <row r="320" spans="2:11" x14ac:dyDescent="0.25">
      <c r="B320" s="63">
        <f t="shared" si="16"/>
        <v>45919</v>
      </c>
      <c r="C320" t="s">
        <v>43</v>
      </c>
      <c r="D320" s="36" t="s">
        <v>63</v>
      </c>
      <c r="E320" t="s">
        <v>21</v>
      </c>
      <c r="F320" s="116">
        <f>110000+12000</f>
        <v>122000</v>
      </c>
      <c r="H320" s="123">
        <v>0</v>
      </c>
      <c r="I320" s="55"/>
      <c r="J320" s="55"/>
      <c r="K320" s="55"/>
    </row>
    <row r="321" spans="2:18" x14ac:dyDescent="0.25">
      <c r="B321" s="63">
        <f t="shared" si="16"/>
        <v>45919</v>
      </c>
      <c r="C321" t="s">
        <v>43</v>
      </c>
      <c r="D321" s="36" t="s">
        <v>69</v>
      </c>
      <c r="F321" s="116">
        <f>200000+40000+80000</f>
        <v>320000</v>
      </c>
      <c r="H321" s="123">
        <v>240000</v>
      </c>
      <c r="K321" s="55"/>
    </row>
    <row r="322" spans="2:18" ht="15.75" thickBot="1" x14ac:dyDescent="0.3">
      <c r="B322" s="67">
        <f t="shared" si="16"/>
        <v>45919</v>
      </c>
      <c r="C322" t="s">
        <v>43</v>
      </c>
      <c r="D322" s="36" t="s">
        <v>68</v>
      </c>
      <c r="E322" t="s">
        <v>21</v>
      </c>
      <c r="F322" s="118">
        <f>100000+50000+425000</f>
        <v>575000</v>
      </c>
      <c r="G322" s="119"/>
      <c r="H322" s="123">
        <v>575000</v>
      </c>
      <c r="K322" s="55"/>
    </row>
    <row r="323" spans="2:18" x14ac:dyDescent="0.25">
      <c r="B323" s="63">
        <f>+B322+7</f>
        <v>45926</v>
      </c>
      <c r="C323" s="59" t="s">
        <v>43</v>
      </c>
      <c r="D323" s="72" t="s">
        <v>44</v>
      </c>
      <c r="E323" s="59"/>
      <c r="F323" s="113">
        <v>300000</v>
      </c>
      <c r="H323" s="122">
        <v>300000</v>
      </c>
    </row>
    <row r="324" spans="2:18" x14ac:dyDescent="0.25">
      <c r="B324" s="63">
        <f t="shared" si="16"/>
        <v>45926</v>
      </c>
      <c r="C324" t="s">
        <v>43</v>
      </c>
      <c r="D324" s="74" t="s">
        <v>45</v>
      </c>
      <c r="F324" s="116">
        <v>167000</v>
      </c>
      <c r="H324" s="123"/>
      <c r="I324" s="55"/>
    </row>
    <row r="325" spans="2:18" x14ac:dyDescent="0.25">
      <c r="B325" s="63">
        <f t="shared" si="16"/>
        <v>45926</v>
      </c>
      <c r="C325" t="s">
        <v>43</v>
      </c>
      <c r="D325" s="74" t="s">
        <v>69</v>
      </c>
      <c r="F325" s="116">
        <f>250000+60000+45100+26300</f>
        <v>381400</v>
      </c>
      <c r="H325" s="123">
        <v>250000</v>
      </c>
      <c r="I325" s="55"/>
    </row>
    <row r="326" spans="2:18" x14ac:dyDescent="0.25">
      <c r="B326" s="63">
        <f t="shared" si="16"/>
        <v>45926</v>
      </c>
      <c r="C326" t="s">
        <v>43</v>
      </c>
      <c r="D326" s="74" t="s">
        <v>57</v>
      </c>
      <c r="F326" s="116">
        <v>280000</v>
      </c>
      <c r="H326" s="123">
        <v>280000</v>
      </c>
    </row>
    <row r="327" spans="2:18" ht="15.75" thickBot="1" x14ac:dyDescent="0.3">
      <c r="B327" s="67">
        <f t="shared" si="16"/>
        <v>45926</v>
      </c>
      <c r="C327" t="s">
        <v>43</v>
      </c>
      <c r="D327" s="74" t="s">
        <v>63</v>
      </c>
      <c r="F327" s="118">
        <f>230000+100000+10000+700000</f>
        <v>1040000</v>
      </c>
      <c r="G327" s="119"/>
      <c r="H327" s="123">
        <f>+H308*3</f>
        <v>690000</v>
      </c>
    </row>
    <row r="328" spans="2:18" x14ac:dyDescent="0.25">
      <c r="B328" s="63">
        <f>+B327+7</f>
        <v>45933</v>
      </c>
      <c r="C328" s="59" t="s">
        <v>43</v>
      </c>
      <c r="D328" s="93" t="s">
        <v>44</v>
      </c>
      <c r="E328" s="59"/>
      <c r="F328" s="113">
        <f>-29600+300000+111500</f>
        <v>381900</v>
      </c>
      <c r="H328" s="122">
        <v>300000</v>
      </c>
    </row>
    <row r="329" spans="2:18" x14ac:dyDescent="0.25">
      <c r="B329" s="63">
        <f t="shared" si="16"/>
        <v>45933</v>
      </c>
      <c r="C329" t="s">
        <v>43</v>
      </c>
      <c r="D329" s="36" t="s">
        <v>57</v>
      </c>
      <c r="F329" s="116">
        <v>280000</v>
      </c>
      <c r="H329" s="123">
        <v>280000</v>
      </c>
    </row>
    <row r="330" spans="2:18" x14ac:dyDescent="0.25">
      <c r="B330" s="63">
        <f t="shared" si="16"/>
        <v>45933</v>
      </c>
      <c r="C330" t="s">
        <v>43</v>
      </c>
      <c r="D330" s="36" t="s">
        <v>45</v>
      </c>
      <c r="F330" s="116">
        <f>115733+62300</f>
        <v>178033</v>
      </c>
      <c r="H330" s="123"/>
    </row>
    <row r="331" spans="2:18" x14ac:dyDescent="0.25">
      <c r="B331" s="63">
        <f t="shared" si="16"/>
        <v>45933</v>
      </c>
      <c r="C331" t="s">
        <v>43</v>
      </c>
      <c r="D331" s="36" t="s">
        <v>51</v>
      </c>
      <c r="F331" s="116">
        <f>650000+100100+45400</f>
        <v>795500</v>
      </c>
      <c r="H331" s="123">
        <v>650000</v>
      </c>
    </row>
    <row r="332" spans="2:18" x14ac:dyDescent="0.25">
      <c r="B332" s="63">
        <f t="shared" si="16"/>
        <v>45933</v>
      </c>
      <c r="C332" t="s">
        <v>43</v>
      </c>
      <c r="D332" s="36" t="s">
        <v>63</v>
      </c>
      <c r="F332" s="116">
        <f>100000+54300</f>
        <v>154300</v>
      </c>
      <c r="H332" s="123"/>
    </row>
    <row r="333" spans="2:18" x14ac:dyDescent="0.25">
      <c r="B333" s="63">
        <f t="shared" si="16"/>
        <v>45933</v>
      </c>
      <c r="C333" t="s">
        <v>43</v>
      </c>
      <c r="D333" s="36" t="s">
        <v>69</v>
      </c>
      <c r="F333" s="116">
        <f>250000+104800+15700</f>
        <v>370500</v>
      </c>
      <c r="H333" s="123">
        <v>250000</v>
      </c>
    </row>
    <row r="334" spans="2:18" ht="15.75" thickBot="1" x14ac:dyDescent="0.3">
      <c r="B334" s="63">
        <f t="shared" si="16"/>
        <v>45933</v>
      </c>
      <c r="C334" t="s">
        <v>43</v>
      </c>
      <c r="D334" s="36" t="s">
        <v>68</v>
      </c>
      <c r="F334" s="116">
        <f>150000-92000+53060+303989+160000</f>
        <v>575049</v>
      </c>
      <c r="G334" s="57"/>
      <c r="H334" s="123">
        <v>575000</v>
      </c>
    </row>
    <row r="335" spans="2:18" x14ac:dyDescent="0.25">
      <c r="B335" s="58">
        <f>+B334+7</f>
        <v>45940</v>
      </c>
      <c r="C335" s="59" t="s">
        <v>43</v>
      </c>
      <c r="D335" s="72" t="s">
        <v>44</v>
      </c>
      <c r="E335" s="59"/>
      <c r="F335" s="147">
        <v>330000</v>
      </c>
      <c r="G335" s="59"/>
      <c r="H335" s="122">
        <v>300000</v>
      </c>
      <c r="K335" s="151">
        <f>77000/2</f>
        <v>38500</v>
      </c>
      <c r="L335" s="152" t="s">
        <v>83</v>
      </c>
      <c r="N335" s="141" t="s">
        <v>45</v>
      </c>
      <c r="O335" s="138"/>
      <c r="P335" s="138"/>
      <c r="Q335" s="138"/>
      <c r="R335" s="138"/>
    </row>
    <row r="336" spans="2:18" x14ac:dyDescent="0.25">
      <c r="B336" s="63">
        <f t="shared" si="16"/>
        <v>45940</v>
      </c>
      <c r="C336" t="s">
        <v>43</v>
      </c>
      <c r="D336" s="74" t="s">
        <v>45</v>
      </c>
      <c r="F336" s="123">
        <f>124055+6000+59900</f>
        <v>189955</v>
      </c>
      <c r="H336" s="55"/>
    </row>
    <row r="337" spans="2:13" x14ac:dyDescent="0.25">
      <c r="B337" s="63">
        <f t="shared" si="16"/>
        <v>45940</v>
      </c>
      <c r="C337" t="s">
        <v>43</v>
      </c>
      <c r="D337" s="74" t="s">
        <v>69</v>
      </c>
      <c r="F337" s="123">
        <f>300000+60000</f>
        <v>360000</v>
      </c>
      <c r="H337" s="55">
        <v>250000</v>
      </c>
      <c r="K337" s="6">
        <f>130000/4</f>
        <v>32500</v>
      </c>
      <c r="L337" t="s">
        <v>84</v>
      </c>
    </row>
    <row r="338" spans="2:13" x14ac:dyDescent="0.25">
      <c r="B338" s="63">
        <f t="shared" si="16"/>
        <v>45940</v>
      </c>
      <c r="C338" t="s">
        <v>43</v>
      </c>
      <c r="D338" s="74" t="s">
        <v>57</v>
      </c>
      <c r="F338" s="123">
        <v>280000</v>
      </c>
      <c r="H338" s="55">
        <v>280000</v>
      </c>
      <c r="M338" s="6"/>
    </row>
    <row r="339" spans="2:13" x14ac:dyDescent="0.25">
      <c r="B339" s="63">
        <f t="shared" si="16"/>
        <v>45940</v>
      </c>
      <c r="C339" t="s">
        <v>43</v>
      </c>
      <c r="D339" s="74" t="s">
        <v>52</v>
      </c>
      <c r="F339" s="123">
        <v>157500</v>
      </c>
      <c r="H339" s="123">
        <f>(450000/4)+22500+22500</f>
        <v>157500</v>
      </c>
      <c r="M339" s="6"/>
    </row>
    <row r="340" spans="2:13" ht="15.75" thickBot="1" x14ac:dyDescent="0.3">
      <c r="B340" s="67">
        <f>+B338</f>
        <v>45940</v>
      </c>
      <c r="C340" s="68" t="s">
        <v>43</v>
      </c>
      <c r="D340" s="75" t="s">
        <v>63</v>
      </c>
      <c r="E340" s="68"/>
      <c r="F340" s="124">
        <v>100000</v>
      </c>
      <c r="G340" s="68"/>
      <c r="H340" s="55"/>
    </row>
    <row r="341" spans="2:13" x14ac:dyDescent="0.25">
      <c r="B341" s="58">
        <f>+B340+7</f>
        <v>45947</v>
      </c>
      <c r="C341" s="59" t="s">
        <v>43</v>
      </c>
      <c r="D341" s="93" t="s">
        <v>44</v>
      </c>
      <c r="E341" s="59"/>
      <c r="F341" s="113">
        <f>38500+10000+251500</f>
        <v>300000</v>
      </c>
      <c r="G341" s="59"/>
      <c r="H341" s="122">
        <f>300000</f>
        <v>300000</v>
      </c>
      <c r="K341" s="151">
        <f>77000/2</f>
        <v>38500</v>
      </c>
      <c r="L341" s="152" t="s">
        <v>83</v>
      </c>
      <c r="M341" s="6"/>
    </row>
    <row r="342" spans="2:13" x14ac:dyDescent="0.25">
      <c r="B342" s="63">
        <f t="shared" si="16"/>
        <v>45947</v>
      </c>
      <c r="C342" t="s">
        <v>43</v>
      </c>
      <c r="D342" s="36" t="s">
        <v>57</v>
      </c>
      <c r="F342" s="116">
        <v>280000</v>
      </c>
      <c r="H342" s="123">
        <v>280000</v>
      </c>
    </row>
    <row r="343" spans="2:13" x14ac:dyDescent="0.25">
      <c r="B343" s="63">
        <f t="shared" si="16"/>
        <v>45947</v>
      </c>
      <c r="C343" t="s">
        <v>43</v>
      </c>
      <c r="D343" s="36" t="s">
        <v>45</v>
      </c>
      <c r="F343" s="116">
        <v>150000</v>
      </c>
      <c r="H343" s="55">
        <v>150000</v>
      </c>
    </row>
    <row r="344" spans="2:13" x14ac:dyDescent="0.25">
      <c r="B344" s="63">
        <f t="shared" si="16"/>
        <v>45947</v>
      </c>
      <c r="C344" t="s">
        <v>43</v>
      </c>
      <c r="D344" s="36" t="s">
        <v>51</v>
      </c>
      <c r="F344" s="116">
        <f>150000+500000</f>
        <v>650000</v>
      </c>
      <c r="H344" s="123">
        <v>650000</v>
      </c>
    </row>
    <row r="345" spans="2:13" x14ac:dyDescent="0.25">
      <c r="B345" s="63">
        <f t="shared" si="16"/>
        <v>45947</v>
      </c>
      <c r="C345" t="s">
        <v>43</v>
      </c>
      <c r="D345" s="36" t="s">
        <v>63</v>
      </c>
      <c r="F345" s="116">
        <f>100000+65000</f>
        <v>165000</v>
      </c>
      <c r="H345" s="148">
        <v>400000</v>
      </c>
    </row>
    <row r="346" spans="2:13" x14ac:dyDescent="0.25">
      <c r="B346" s="63">
        <f t="shared" si="16"/>
        <v>45947</v>
      </c>
      <c r="C346" t="s">
        <v>43</v>
      </c>
      <c r="D346" s="36" t="s">
        <v>69</v>
      </c>
      <c r="F346" s="116">
        <f>56100+193900</f>
        <v>250000</v>
      </c>
      <c r="H346" s="123">
        <f>250000</f>
        <v>250000</v>
      </c>
      <c r="K346" s="151">
        <f>+K337+K337</f>
        <v>65000</v>
      </c>
      <c r="L346" s="152" t="s">
        <v>84</v>
      </c>
    </row>
    <row r="347" spans="2:13" x14ac:dyDescent="0.25">
      <c r="B347" s="63">
        <f t="shared" si="16"/>
        <v>45947</v>
      </c>
      <c r="C347" t="s">
        <v>43</v>
      </c>
      <c r="D347" s="36" t="s">
        <v>52</v>
      </c>
      <c r="F347" s="116">
        <v>125000</v>
      </c>
      <c r="H347" s="123">
        <f>(500000/4)</f>
        <v>125000</v>
      </c>
      <c r="K347" s="6"/>
    </row>
    <row r="348" spans="2:13" ht="15.75" thickBot="1" x14ac:dyDescent="0.3">
      <c r="B348" s="67">
        <f>+B346</f>
        <v>45947</v>
      </c>
      <c r="C348" s="68" t="s">
        <v>43</v>
      </c>
      <c r="D348" s="69" t="s">
        <v>68</v>
      </c>
      <c r="E348" s="68"/>
      <c r="F348" s="116">
        <f>229701+345299</f>
        <v>575000</v>
      </c>
      <c r="G348" s="68"/>
      <c r="H348" s="123">
        <v>575000</v>
      </c>
    </row>
    <row r="349" spans="2:13" x14ac:dyDescent="0.25">
      <c r="B349" s="58">
        <f>+B348+7</f>
        <v>45954</v>
      </c>
      <c r="C349" s="59" t="s">
        <v>43</v>
      </c>
      <c r="D349" s="72" t="s">
        <v>44</v>
      </c>
      <c r="E349" s="59"/>
      <c r="F349" s="147">
        <v>300000</v>
      </c>
      <c r="G349" s="59"/>
      <c r="H349" s="122">
        <v>300000</v>
      </c>
    </row>
    <row r="350" spans="2:13" x14ac:dyDescent="0.25">
      <c r="B350" s="63">
        <f t="shared" si="16"/>
        <v>45954</v>
      </c>
      <c r="C350" t="s">
        <v>43</v>
      </c>
      <c r="D350" s="74" t="s">
        <v>45</v>
      </c>
      <c r="F350" s="123">
        <v>229000</v>
      </c>
      <c r="H350" s="55">
        <v>229000</v>
      </c>
    </row>
    <row r="351" spans="2:13" x14ac:dyDescent="0.25">
      <c r="B351" s="63">
        <f t="shared" si="16"/>
        <v>45954</v>
      </c>
      <c r="C351" t="s">
        <v>43</v>
      </c>
      <c r="D351" s="74" t="s">
        <v>69</v>
      </c>
      <c r="F351" s="123">
        <f>32500+200000</f>
        <v>232500</v>
      </c>
      <c r="H351" s="55">
        <v>250000</v>
      </c>
      <c r="K351" s="6">
        <f>+K337</f>
        <v>32500</v>
      </c>
      <c r="L351" t="s">
        <v>84</v>
      </c>
    </row>
    <row r="352" spans="2:13" x14ac:dyDescent="0.25">
      <c r="B352" s="63">
        <f t="shared" si="16"/>
        <v>45954</v>
      </c>
      <c r="C352" t="s">
        <v>43</v>
      </c>
      <c r="D352" s="74" t="s">
        <v>57</v>
      </c>
      <c r="F352" s="123">
        <v>280000</v>
      </c>
      <c r="H352" s="55">
        <v>280000</v>
      </c>
    </row>
    <row r="353" spans="2:12" x14ac:dyDescent="0.25">
      <c r="B353" s="63">
        <f t="shared" si="16"/>
        <v>45954</v>
      </c>
      <c r="C353" t="s">
        <v>43</v>
      </c>
      <c r="D353" s="74" t="s">
        <v>52</v>
      </c>
      <c r="F353" s="123">
        <v>125000</v>
      </c>
      <c r="H353" s="123">
        <f>(500000/4)</f>
        <v>125000</v>
      </c>
    </row>
    <row r="354" spans="2:12" x14ac:dyDescent="0.25">
      <c r="B354" s="63">
        <f t="shared" si="16"/>
        <v>45954</v>
      </c>
      <c r="C354" t="s">
        <v>43</v>
      </c>
      <c r="D354" s="74" t="s">
        <v>85</v>
      </c>
      <c r="F354" s="123">
        <f>90000+80000+100000</f>
        <v>270000</v>
      </c>
      <c r="H354" s="123">
        <v>270000</v>
      </c>
    </row>
    <row r="355" spans="2:12" ht="15.75" thickBot="1" x14ac:dyDescent="0.3">
      <c r="B355" s="67">
        <f>+B352</f>
        <v>45954</v>
      </c>
      <c r="C355" s="68" t="s">
        <v>43</v>
      </c>
      <c r="D355" s="75" t="s">
        <v>63</v>
      </c>
      <c r="E355" s="68"/>
      <c r="F355" s="124">
        <v>300000</v>
      </c>
      <c r="G355" s="68"/>
      <c r="H355" s="123"/>
    </row>
    <row r="356" spans="2:12" x14ac:dyDescent="0.25">
      <c r="B356" s="58">
        <f>+B355+7</f>
        <v>45961</v>
      </c>
      <c r="C356" s="59" t="s">
        <v>43</v>
      </c>
      <c r="D356" s="93" t="s">
        <v>44</v>
      </c>
      <c r="E356" s="59"/>
      <c r="F356" s="147">
        <v>300000</v>
      </c>
      <c r="G356" s="59"/>
      <c r="H356" s="122">
        <v>300000</v>
      </c>
    </row>
    <row r="357" spans="2:12" x14ac:dyDescent="0.25">
      <c r="B357" s="63">
        <f t="shared" si="16"/>
        <v>45961</v>
      </c>
      <c r="C357" t="s">
        <v>43</v>
      </c>
      <c r="D357" s="36" t="s">
        <v>57</v>
      </c>
      <c r="F357" s="123">
        <v>280000</v>
      </c>
      <c r="H357" s="55">
        <v>280000</v>
      </c>
    </row>
    <row r="358" spans="2:12" x14ac:dyDescent="0.25">
      <c r="B358" s="63">
        <f t="shared" ref="B358:B370" si="17">+B357</f>
        <v>45961</v>
      </c>
      <c r="C358" t="s">
        <v>43</v>
      </c>
      <c r="D358" s="36" t="s">
        <v>45</v>
      </c>
      <c r="F358" s="123">
        <v>219000</v>
      </c>
      <c r="H358">
        <v>219000</v>
      </c>
    </row>
    <row r="359" spans="2:12" x14ac:dyDescent="0.25">
      <c r="B359" s="63">
        <f t="shared" si="17"/>
        <v>45961</v>
      </c>
      <c r="C359" t="s">
        <v>43</v>
      </c>
      <c r="D359" s="36" t="s">
        <v>51</v>
      </c>
      <c r="F359" s="123">
        <v>650000</v>
      </c>
      <c r="H359" s="123">
        <v>650000</v>
      </c>
    </row>
    <row r="360" spans="2:12" x14ac:dyDescent="0.25">
      <c r="B360" s="63">
        <f t="shared" si="17"/>
        <v>45961</v>
      </c>
      <c r="C360" t="s">
        <v>43</v>
      </c>
      <c r="D360" s="36" t="s">
        <v>63</v>
      </c>
      <c r="F360" s="123">
        <f>224500+20000+100000+65000+300000+426938</f>
        <v>1136438</v>
      </c>
      <c r="H360" s="57">
        <v>1100000</v>
      </c>
    </row>
    <row r="361" spans="2:12" x14ac:dyDescent="0.25">
      <c r="B361" s="63">
        <f t="shared" si="17"/>
        <v>45961</v>
      </c>
      <c r="C361" t="s">
        <v>43</v>
      </c>
      <c r="D361" s="36" t="s">
        <v>69</v>
      </c>
      <c r="F361" s="123">
        <f>32500+253906</f>
        <v>286406</v>
      </c>
      <c r="H361" s="123">
        <f>250000</f>
        <v>250000</v>
      </c>
      <c r="K361" s="6">
        <f>+K351</f>
        <v>32500</v>
      </c>
      <c r="L361" t="s">
        <v>84</v>
      </c>
    </row>
    <row r="362" spans="2:12" x14ac:dyDescent="0.25">
      <c r="B362" s="63">
        <f t="shared" si="17"/>
        <v>45961</v>
      </c>
      <c r="C362" t="s">
        <v>43</v>
      </c>
      <c r="D362" s="36" t="s">
        <v>52</v>
      </c>
      <c r="F362" s="123">
        <v>125000</v>
      </c>
      <c r="H362" s="123">
        <f>(500000/4)</f>
        <v>125000</v>
      </c>
      <c r="K362" s="6"/>
    </row>
    <row r="363" spans="2:12" x14ac:dyDescent="0.25">
      <c r="B363" s="63">
        <f t="shared" si="17"/>
        <v>45961</v>
      </c>
      <c r="C363" t="s">
        <v>43</v>
      </c>
      <c r="D363" s="36" t="s">
        <v>85</v>
      </c>
      <c r="F363" s="123">
        <f>90000+80000+100000</f>
        <v>270000</v>
      </c>
      <c r="H363" s="123">
        <v>270000</v>
      </c>
      <c r="K363" s="6"/>
    </row>
    <row r="364" spans="2:12" ht="15.75" thickBot="1" x14ac:dyDescent="0.3">
      <c r="B364" s="67">
        <f>+B361</f>
        <v>45961</v>
      </c>
      <c r="C364" s="68" t="s">
        <v>43</v>
      </c>
      <c r="D364" s="69" t="s">
        <v>68</v>
      </c>
      <c r="E364" s="68"/>
      <c r="F364" s="124">
        <f>427766.55+147233</f>
        <v>574999.55000000005</v>
      </c>
      <c r="G364" s="68"/>
      <c r="H364" s="123">
        <v>575000</v>
      </c>
    </row>
    <row r="365" spans="2:12" x14ac:dyDescent="0.25">
      <c r="B365" s="58">
        <f>+B364+7</f>
        <v>45968</v>
      </c>
      <c r="C365" s="59" t="s">
        <v>43</v>
      </c>
      <c r="D365" s="72" t="s">
        <v>44</v>
      </c>
      <c r="E365" s="59"/>
      <c r="F365" s="147">
        <f>38500+254050+52450</f>
        <v>345000</v>
      </c>
      <c r="G365" s="59"/>
      <c r="H365" s="122">
        <v>300000</v>
      </c>
      <c r="K365" s="6">
        <f>77000/2</f>
        <v>38500</v>
      </c>
      <c r="L365" t="s">
        <v>86</v>
      </c>
    </row>
    <row r="366" spans="2:12" x14ac:dyDescent="0.25">
      <c r="B366" s="63">
        <f t="shared" si="17"/>
        <v>45968</v>
      </c>
      <c r="C366" t="s">
        <v>43</v>
      </c>
      <c r="D366" s="74" t="s">
        <v>45</v>
      </c>
      <c r="F366" s="123">
        <f>112308+114692</f>
        <v>227000</v>
      </c>
    </row>
    <row r="367" spans="2:12" x14ac:dyDescent="0.25">
      <c r="B367" s="63">
        <f t="shared" si="17"/>
        <v>45968</v>
      </c>
      <c r="C367" t="s">
        <v>43</v>
      </c>
      <c r="D367" s="74" t="s">
        <v>69</v>
      </c>
      <c r="F367" s="123">
        <f>32500+210000+35625</f>
        <v>278125</v>
      </c>
      <c r="H367" s="123">
        <f>250000</f>
        <v>250000</v>
      </c>
      <c r="I367" s="145" cm="1">
        <f t="array" aca="1" ref="I367" ca="1">IFERROR(INDIRECT(tMov[[#This Row],[Detalle]]),0)</f>
        <v>0</v>
      </c>
      <c r="J367" s="150">
        <f ca="1">+(I367+H367)-tMov[[#This Row],[Valor]]</f>
        <v>-28125</v>
      </c>
      <c r="K367" s="6">
        <f>130000/4</f>
        <v>32500</v>
      </c>
      <c r="L367" t="s">
        <v>87</v>
      </c>
    </row>
    <row r="368" spans="2:12" x14ac:dyDescent="0.25">
      <c r="B368" s="63">
        <f t="shared" si="17"/>
        <v>45968</v>
      </c>
      <c r="C368" t="s">
        <v>43</v>
      </c>
      <c r="D368" s="74" t="s">
        <v>57</v>
      </c>
      <c r="F368" s="123">
        <v>280000</v>
      </c>
      <c r="H368" s="55">
        <v>280000</v>
      </c>
    </row>
    <row r="369" spans="2:13" x14ac:dyDescent="0.25">
      <c r="B369" s="63">
        <f t="shared" si="17"/>
        <v>45968</v>
      </c>
      <c r="C369" t="s">
        <v>43</v>
      </c>
      <c r="D369" s="74" t="s">
        <v>52</v>
      </c>
      <c r="F369" s="123">
        <v>125000</v>
      </c>
      <c r="H369" s="123">
        <f>(500000/4)</f>
        <v>125000</v>
      </c>
    </row>
    <row r="370" spans="2:13" x14ac:dyDescent="0.25">
      <c r="B370" s="63">
        <f t="shared" si="17"/>
        <v>45968</v>
      </c>
      <c r="C370" t="s">
        <v>43</v>
      </c>
      <c r="D370" s="74" t="s">
        <v>85</v>
      </c>
      <c r="F370" s="123">
        <f>90000+90000+90000</f>
        <v>270000</v>
      </c>
      <c r="H370" s="123">
        <v>270000</v>
      </c>
    </row>
    <row r="371" spans="2:13" ht="15.75" thickBot="1" x14ac:dyDescent="0.3">
      <c r="B371" s="67">
        <f>+B368</f>
        <v>45968</v>
      </c>
      <c r="C371" s="68" t="s">
        <v>43</v>
      </c>
      <c r="D371" s="75" t="s">
        <v>63</v>
      </c>
      <c r="E371" s="68"/>
      <c r="F371" s="124">
        <f>275000+41250</f>
        <v>316250</v>
      </c>
      <c r="G371" s="68"/>
      <c r="H371" s="124">
        <f>1100000/4</f>
        <v>275000</v>
      </c>
    </row>
    <row r="372" spans="2:13" x14ac:dyDescent="0.25">
      <c r="B372" s="58">
        <f>+B371+7</f>
        <v>45975</v>
      </c>
      <c r="C372" s="59" t="s">
        <v>43</v>
      </c>
      <c r="D372" s="93" t="s">
        <v>44</v>
      </c>
      <c r="E372" s="59"/>
      <c r="F372" s="113">
        <f>38500+155670+105830</f>
        <v>300000</v>
      </c>
      <c r="G372" s="59"/>
      <c r="H372" s="122">
        <v>300000</v>
      </c>
      <c r="K372" s="6">
        <f>77000/2</f>
        <v>38500</v>
      </c>
      <c r="L372" t="s">
        <v>86</v>
      </c>
      <c r="M372" t="str">
        <f>+VLOOKUP(tMov[[#This Row],[Detalle]],Hoja1!$D$3:$E$10,2,0)</f>
        <v>0070139230004098394253</v>
      </c>
    </row>
    <row r="373" spans="2:13" x14ac:dyDescent="0.25">
      <c r="B373" s="63">
        <f t="shared" ref="B373:B379" si="18">+B372</f>
        <v>45975</v>
      </c>
      <c r="C373" t="s">
        <v>43</v>
      </c>
      <c r="D373" s="36" t="s">
        <v>57</v>
      </c>
      <c r="F373" s="116">
        <f>200000+80000</f>
        <v>280000</v>
      </c>
      <c r="H373" s="55">
        <v>280000</v>
      </c>
    </row>
    <row r="374" spans="2:13" x14ac:dyDescent="0.25">
      <c r="B374" s="63">
        <f t="shared" si="18"/>
        <v>45975</v>
      </c>
      <c r="C374" t="s">
        <v>43</v>
      </c>
      <c r="D374" s="36" t="s">
        <v>45</v>
      </c>
      <c r="F374" s="116">
        <f>180000+76000</f>
        <v>256000</v>
      </c>
    </row>
    <row r="375" spans="2:13" x14ac:dyDescent="0.25">
      <c r="B375" s="63">
        <f t="shared" si="18"/>
        <v>45975</v>
      </c>
      <c r="C375" t="s">
        <v>43</v>
      </c>
      <c r="D375" s="36" t="s">
        <v>51</v>
      </c>
      <c r="F375" s="161">
        <f>155600+379700+180000+32200</f>
        <v>747500</v>
      </c>
      <c r="H375" s="123">
        <v>650000</v>
      </c>
    </row>
    <row r="376" spans="2:13" x14ac:dyDescent="0.25">
      <c r="B376" s="63">
        <f t="shared" si="18"/>
        <v>45975</v>
      </c>
      <c r="C376" t="s">
        <v>43</v>
      </c>
      <c r="D376" s="36" t="s">
        <v>63</v>
      </c>
      <c r="F376" s="116">
        <v>275000</v>
      </c>
      <c r="H376" s="57">
        <v>275000</v>
      </c>
    </row>
    <row r="377" spans="2:13" x14ac:dyDescent="0.25">
      <c r="B377" s="63">
        <f t="shared" si="18"/>
        <v>45975</v>
      </c>
      <c r="C377" t="s">
        <v>43</v>
      </c>
      <c r="D377" s="36" t="s">
        <v>69</v>
      </c>
      <c r="F377" s="123">
        <f>32500+40000+177500+18750</f>
        <v>268750</v>
      </c>
      <c r="H377" s="123">
        <f>250000</f>
        <v>250000</v>
      </c>
      <c r="K377" s="6">
        <f>130000/4</f>
        <v>32500</v>
      </c>
      <c r="L377" t="s">
        <v>87</v>
      </c>
    </row>
    <row r="378" spans="2:13" x14ac:dyDescent="0.25">
      <c r="B378" s="63">
        <f t="shared" si="18"/>
        <v>45975</v>
      </c>
      <c r="C378" t="s">
        <v>43</v>
      </c>
      <c r="D378" s="36" t="s">
        <v>52</v>
      </c>
      <c r="F378" s="116">
        <v>125000</v>
      </c>
      <c r="H378" s="123">
        <f>(500000/4)</f>
        <v>125000</v>
      </c>
    </row>
    <row r="379" spans="2:13" x14ac:dyDescent="0.25">
      <c r="B379" s="63">
        <f t="shared" si="18"/>
        <v>45975</v>
      </c>
      <c r="C379" t="s">
        <v>43</v>
      </c>
      <c r="D379" s="36" t="s">
        <v>85</v>
      </c>
      <c r="F379" s="116">
        <f>90000+90000</f>
        <v>180000</v>
      </c>
      <c r="H379" s="123">
        <v>270000</v>
      </c>
    </row>
    <row r="380" spans="2:13" ht="15.75" thickBot="1" x14ac:dyDescent="0.3">
      <c r="B380" s="67">
        <f>+B377</f>
        <v>45975</v>
      </c>
      <c r="C380" s="68" t="s">
        <v>43</v>
      </c>
      <c r="D380" s="69" t="s">
        <v>68</v>
      </c>
      <c r="E380" s="68"/>
      <c r="F380" s="116">
        <v>574140</v>
      </c>
      <c r="G380" s="68"/>
      <c r="H380" s="123">
        <v>575000</v>
      </c>
      <c r="J380"/>
    </row>
    <row r="381" spans="2:13" x14ac:dyDescent="0.25">
      <c r="B381" s="58">
        <f>+B380+7</f>
        <v>45982</v>
      </c>
      <c r="C381" s="59" t="s">
        <v>43</v>
      </c>
      <c r="D381" s="72" t="s">
        <v>44</v>
      </c>
      <c r="E381" s="59"/>
      <c r="F381" s="61">
        <v>300000</v>
      </c>
      <c r="G381" s="59"/>
      <c r="H381" s="122">
        <v>300000</v>
      </c>
      <c r="J381"/>
    </row>
    <row r="382" spans="2:13" x14ac:dyDescent="0.25">
      <c r="B382" s="63">
        <f t="shared" ref="B382:B386" si="19">+B381</f>
        <v>45982</v>
      </c>
      <c r="C382" t="s">
        <v>43</v>
      </c>
      <c r="D382" s="74" t="s">
        <v>45</v>
      </c>
      <c r="F382" s="65">
        <f>150000+56000</f>
        <v>206000</v>
      </c>
      <c r="J382"/>
    </row>
    <row r="383" spans="2:13" x14ac:dyDescent="0.25">
      <c r="B383" s="63">
        <f t="shared" si="19"/>
        <v>45982</v>
      </c>
      <c r="C383" t="s">
        <v>43</v>
      </c>
      <c r="D383" s="74" t="s">
        <v>69</v>
      </c>
      <c r="F383" s="123">
        <f>32500+50000+100000+130469</f>
        <v>312969</v>
      </c>
      <c r="H383" s="123">
        <f>250000</f>
        <v>250000</v>
      </c>
      <c r="J383"/>
      <c r="K383" s="6">
        <f>130000/4</f>
        <v>32500</v>
      </c>
      <c r="L383" t="s">
        <v>87</v>
      </c>
    </row>
    <row r="384" spans="2:13" x14ac:dyDescent="0.25">
      <c r="B384" s="63">
        <f t="shared" si="19"/>
        <v>45982</v>
      </c>
      <c r="C384" t="s">
        <v>43</v>
      </c>
      <c r="D384" s="74" t="s">
        <v>57</v>
      </c>
      <c r="F384" s="65">
        <f>250000+30000</f>
        <v>280000</v>
      </c>
      <c r="H384" s="55">
        <v>280000</v>
      </c>
      <c r="J384"/>
    </row>
    <row r="385" spans="2:21" x14ac:dyDescent="0.25">
      <c r="B385" s="63">
        <f t="shared" si="19"/>
        <v>45982</v>
      </c>
      <c r="C385" t="s">
        <v>43</v>
      </c>
      <c r="D385" s="74" t="s">
        <v>52</v>
      </c>
      <c r="F385" s="65"/>
      <c r="H385" s="123">
        <f>(500000/4)/4</f>
        <v>31250</v>
      </c>
      <c r="J385"/>
    </row>
    <row r="386" spans="2:21" x14ac:dyDescent="0.25">
      <c r="B386" s="63">
        <f t="shared" si="19"/>
        <v>45982</v>
      </c>
      <c r="C386" t="s">
        <v>43</v>
      </c>
      <c r="D386" s="74" t="s">
        <v>85</v>
      </c>
      <c r="F386" s="65">
        <f>90000+90000</f>
        <v>180000</v>
      </c>
      <c r="H386" s="123">
        <v>180000</v>
      </c>
      <c r="J386"/>
      <c r="P386" s="57"/>
      <c r="Q386" s="57"/>
    </row>
    <row r="387" spans="2:21" ht="15.75" thickBot="1" x14ac:dyDescent="0.3">
      <c r="B387" s="67">
        <f>+B384</f>
        <v>45982</v>
      </c>
      <c r="C387" s="68" t="s">
        <v>43</v>
      </c>
      <c r="D387" s="75" t="s">
        <v>63</v>
      </c>
      <c r="E387" s="68"/>
      <c r="F387" s="70">
        <f>100000+100000+75000+20000+10000</f>
        <v>305000</v>
      </c>
      <c r="G387" s="68"/>
      <c r="H387" s="124">
        <f>1100000/4</f>
        <v>275000</v>
      </c>
      <c r="J387"/>
      <c r="Q387" s="57"/>
    </row>
    <row r="388" spans="2:21" x14ac:dyDescent="0.25">
      <c r="B388" s="58">
        <f>+B387+7</f>
        <v>45989</v>
      </c>
      <c r="C388" s="59" t="s">
        <v>43</v>
      </c>
      <c r="D388" s="93" t="s">
        <v>44</v>
      </c>
      <c r="E388" s="59"/>
      <c r="F388" s="122">
        <v>300000</v>
      </c>
      <c r="G388" s="59"/>
      <c r="H388" s="122">
        <v>300000</v>
      </c>
      <c r="J388"/>
      <c r="T388" s="131">
        <f>+ivan+alex+T416+david</f>
        <v>0</v>
      </c>
    </row>
    <row r="389" spans="2:21" x14ac:dyDescent="0.25">
      <c r="B389" s="63">
        <f t="shared" ref="B389:B395" si="20">+B388</f>
        <v>45989</v>
      </c>
      <c r="C389" t="s">
        <v>43</v>
      </c>
      <c r="D389" s="36" t="s">
        <v>57</v>
      </c>
      <c r="F389" s="161">
        <v>280000</v>
      </c>
      <c r="H389" s="55">
        <v>280000</v>
      </c>
      <c r="J389"/>
    </row>
    <row r="390" spans="2:21" ht="15.75" thickBot="1" x14ac:dyDescent="0.3">
      <c r="B390" s="63">
        <f t="shared" si="20"/>
        <v>45989</v>
      </c>
      <c r="C390" t="s">
        <v>43</v>
      </c>
      <c r="D390" s="36" t="s">
        <v>45</v>
      </c>
      <c r="F390" s="161">
        <f>126700+30000+30000</f>
        <v>186700</v>
      </c>
      <c r="H390" s="55">
        <v>187000</v>
      </c>
    </row>
    <row r="391" spans="2:21" x14ac:dyDescent="0.25">
      <c r="B391" s="63">
        <f t="shared" si="20"/>
        <v>45989</v>
      </c>
      <c r="C391" t="s">
        <v>43</v>
      </c>
      <c r="D391" s="36" t="s">
        <v>51</v>
      </c>
      <c r="F391" s="161">
        <f>200000+364000</f>
        <v>564000</v>
      </c>
      <c r="H391" s="123">
        <f>650000-86000</f>
        <v>564000</v>
      </c>
      <c r="J391"/>
      <c r="N391" s="15"/>
      <c r="O391" s="16"/>
      <c r="P391" s="16"/>
      <c r="Q391" s="16"/>
      <c r="R391" s="16"/>
      <c r="S391" s="17"/>
    </row>
    <row r="392" spans="2:21" ht="15.75" thickBot="1" x14ac:dyDescent="0.3">
      <c r="B392" s="63">
        <f t="shared" si="20"/>
        <v>45989</v>
      </c>
      <c r="C392" t="s">
        <v>43</v>
      </c>
      <c r="D392" s="36" t="s">
        <v>63</v>
      </c>
      <c r="F392" s="161">
        <f>150000+120000+22000+28000</f>
        <v>320000</v>
      </c>
      <c r="H392" s="57">
        <v>275000</v>
      </c>
      <c r="J392"/>
      <c r="N392" s="128"/>
      <c r="O392" s="129"/>
      <c r="P392" s="19"/>
      <c r="Q392" s="19"/>
      <c r="R392" s="19"/>
      <c r="S392" s="20"/>
    </row>
    <row r="393" spans="2:21" x14ac:dyDescent="0.25">
      <c r="B393" s="63">
        <f t="shared" si="20"/>
        <v>45989</v>
      </c>
      <c r="C393" t="s">
        <v>43</v>
      </c>
      <c r="D393" s="36" t="s">
        <v>69</v>
      </c>
      <c r="F393" s="161">
        <f>32500+120000+100000</f>
        <v>252500</v>
      </c>
      <c r="H393" s="123">
        <f>250000</f>
        <v>250000</v>
      </c>
      <c r="J393"/>
      <c r="K393" s="6">
        <f>130000/4</f>
        <v>32500</v>
      </c>
      <c r="L393" t="s">
        <v>87</v>
      </c>
    </row>
    <row r="394" spans="2:21" x14ac:dyDescent="0.25">
      <c r="B394" s="63">
        <f t="shared" si="20"/>
        <v>45989</v>
      </c>
      <c r="C394" t="s">
        <v>43</v>
      </c>
      <c r="D394" s="36" t="s">
        <v>52</v>
      </c>
      <c r="F394" s="161"/>
      <c r="H394" s="123"/>
      <c r="J394"/>
    </row>
    <row r="395" spans="2:21" ht="15.75" thickBot="1" x14ac:dyDescent="0.3">
      <c r="B395" s="63">
        <f t="shared" si="20"/>
        <v>45989</v>
      </c>
      <c r="C395" t="s">
        <v>43</v>
      </c>
      <c r="D395" s="36" t="s">
        <v>85</v>
      </c>
      <c r="F395" s="161">
        <f>90000+90000</f>
        <v>180000</v>
      </c>
      <c r="H395" s="123">
        <v>270000</v>
      </c>
      <c r="J395"/>
      <c r="K395" s="55"/>
      <c r="N395" s="11" t="s">
        <v>88</v>
      </c>
    </row>
    <row r="396" spans="2:21" ht="15.75" thickBot="1" x14ac:dyDescent="0.3">
      <c r="B396" s="67">
        <f>+B393</f>
        <v>45989</v>
      </c>
      <c r="C396" s="68" t="s">
        <v>43</v>
      </c>
      <c r="D396" s="69" t="s">
        <v>68</v>
      </c>
      <c r="E396" s="68"/>
      <c r="F396" s="161">
        <f>75000+200000+451240-151240</f>
        <v>575000</v>
      </c>
      <c r="G396" s="68"/>
      <c r="H396" s="123">
        <v>575000</v>
      </c>
      <c r="J396"/>
      <c r="N396" s="111">
        <v>46118</v>
      </c>
      <c r="O396" s="79">
        <f>+N396+1</f>
        <v>46119</v>
      </c>
      <c r="P396" s="80">
        <f>+O396+1</f>
        <v>46120</v>
      </c>
      <c r="Q396" s="81">
        <f>+P396+1</f>
        <v>46121</v>
      </c>
      <c r="R396" s="92">
        <f>+Q396+1</f>
        <v>46122</v>
      </c>
      <c r="S396" s="90">
        <f>+R396+1</f>
        <v>46123</v>
      </c>
      <c r="T396" s="11" t="str">
        <f>+N395</f>
        <v>IVAN SMITH</v>
      </c>
    </row>
    <row r="397" spans="2:21" x14ac:dyDescent="0.25">
      <c r="B397" s="58">
        <f>+B396+7</f>
        <v>45996</v>
      </c>
      <c r="C397" s="59" t="s">
        <v>43</v>
      </c>
      <c r="D397" s="72" t="s">
        <v>44</v>
      </c>
      <c r="E397" s="59"/>
      <c r="F397" s="122">
        <f>77000+(900*1470)+100000</f>
        <v>1500000</v>
      </c>
      <c r="G397" s="59"/>
      <c r="H397" s="122">
        <f>300000+600000+600000</f>
        <v>1500000</v>
      </c>
      <c r="J397"/>
      <c r="K397" s="11" t="s">
        <v>89</v>
      </c>
      <c r="M397" s="55">
        <f>+((M399/5)/8)</f>
        <v>8250</v>
      </c>
      <c r="N397" s="15" t="str">
        <f t="shared" ref="N397" si="21">+IF(N398="","","17:00")</f>
        <v/>
      </c>
      <c r="O397" s="16" t="str">
        <f t="shared" ref="O397:R397" si="22">+IF(O398="","","17:00")</f>
        <v/>
      </c>
      <c r="P397" s="16" t="str">
        <f t="shared" si="22"/>
        <v/>
      </c>
      <c r="Q397" s="16" t="str">
        <f t="shared" si="22"/>
        <v/>
      </c>
      <c r="R397" s="16" t="str">
        <f t="shared" si="22"/>
        <v/>
      </c>
      <c r="S397" s="17"/>
    </row>
    <row r="398" spans="2:21" ht="15.75" thickBot="1" x14ac:dyDescent="0.3">
      <c r="B398" s="63">
        <f t="shared" ref="B398:B402" si="23">+B397</f>
        <v>45996</v>
      </c>
      <c r="C398" t="s">
        <v>43</v>
      </c>
      <c r="D398" s="74" t="s">
        <v>45</v>
      </c>
      <c r="F398" s="65">
        <f>110000+94000</f>
        <v>204000</v>
      </c>
      <c r="J398"/>
      <c r="K398" s="6"/>
      <c r="N398" s="128"/>
      <c r="O398" s="129"/>
      <c r="P398" s="19"/>
      <c r="Q398" s="19"/>
      <c r="R398" s="19"/>
      <c r="S398" s="20"/>
    </row>
    <row r="399" spans="2:21" ht="15.75" thickBot="1" x14ac:dyDescent="0.3">
      <c r="B399" s="63">
        <f t="shared" si="23"/>
        <v>45996</v>
      </c>
      <c r="C399" t="s">
        <v>43</v>
      </c>
      <c r="D399" s="74" t="s">
        <v>69</v>
      </c>
      <c r="F399" s="65">
        <f>205000+32500+20000+30000</f>
        <v>287500</v>
      </c>
      <c r="H399" s="123">
        <f>250000</f>
        <v>250000</v>
      </c>
      <c r="J399"/>
      <c r="K399" t="s">
        <v>90</v>
      </c>
      <c r="M399" s="56">
        <f>+Hoja1!L20</f>
        <v>330000</v>
      </c>
      <c r="N399" s="112">
        <f t="shared" ref="N399:S399" si="24">IFERROR((N398*24)-(N397*24),0)</f>
        <v>0</v>
      </c>
      <c r="O399" s="87">
        <f t="shared" si="24"/>
        <v>0</v>
      </c>
      <c r="P399" s="87">
        <f t="shared" si="24"/>
        <v>0</v>
      </c>
      <c r="Q399" s="87">
        <f t="shared" si="24"/>
        <v>0</v>
      </c>
      <c r="R399" s="87">
        <f t="shared" si="24"/>
        <v>0</v>
      </c>
      <c r="S399" s="91">
        <f t="shared" si="24"/>
        <v>0</v>
      </c>
      <c r="T399" s="89">
        <f>+SUM(N399:S399)</f>
        <v>0</v>
      </c>
      <c r="U399" s="11" t="s">
        <v>91</v>
      </c>
    </row>
    <row r="400" spans="2:21" ht="15.75" thickBot="1" x14ac:dyDescent="0.3">
      <c r="B400" s="63">
        <f t="shared" si="23"/>
        <v>45996</v>
      </c>
      <c r="C400" t="s">
        <v>43</v>
      </c>
      <c r="D400" s="74" t="s">
        <v>57</v>
      </c>
      <c r="F400" s="65">
        <v>280000</v>
      </c>
      <c r="H400" s="55">
        <v>280000</v>
      </c>
      <c r="J400"/>
      <c r="N400" s="85"/>
      <c r="O400" s="8"/>
      <c r="P400" s="8"/>
      <c r="Q400" s="8"/>
      <c r="R400" s="8"/>
      <c r="S400" s="8"/>
    </row>
    <row r="401" spans="2:31" ht="15.75" thickBot="1" x14ac:dyDescent="0.3">
      <c r="B401" s="63">
        <f t="shared" si="23"/>
        <v>45996</v>
      </c>
      <c r="C401" t="s">
        <v>43</v>
      </c>
      <c r="D401" s="74" t="s">
        <v>52</v>
      </c>
      <c r="F401" s="65"/>
      <c r="H401" s="123"/>
      <c r="J401"/>
      <c r="M401" s="6">
        <f>+M399/5</f>
        <v>66000</v>
      </c>
      <c r="N401" s="94">
        <f t="shared" ref="N401:S401" si="25">+IF(N400="feriado",N399*$M$397,N399*$M$397*1.5)</f>
        <v>0</v>
      </c>
      <c r="O401" s="88">
        <f t="shared" si="25"/>
        <v>0</v>
      </c>
      <c r="P401" s="88">
        <f t="shared" si="25"/>
        <v>0</v>
      </c>
      <c r="Q401" s="88">
        <f t="shared" si="25"/>
        <v>0</v>
      </c>
      <c r="R401" s="88">
        <f t="shared" si="25"/>
        <v>0</v>
      </c>
      <c r="S401" s="88">
        <f t="shared" si="25"/>
        <v>0</v>
      </c>
      <c r="T401" s="86">
        <f>+SUM(N401:S401)</f>
        <v>0</v>
      </c>
    </row>
    <row r="402" spans="2:31" ht="15.75" thickBot="1" x14ac:dyDescent="0.3">
      <c r="B402" s="63">
        <f t="shared" si="23"/>
        <v>45996</v>
      </c>
      <c r="C402" t="s">
        <v>43</v>
      </c>
      <c r="D402" s="74" t="s">
        <v>85</v>
      </c>
      <c r="F402" s="65">
        <f>90000+90000</f>
        <v>180000</v>
      </c>
      <c r="H402" s="123">
        <v>270000</v>
      </c>
      <c r="J402"/>
      <c r="N402" s="11" t="s">
        <v>92</v>
      </c>
      <c r="Q402" s="51"/>
    </row>
    <row r="403" spans="2:31" ht="15.75" thickBot="1" x14ac:dyDescent="0.3">
      <c r="B403" s="67">
        <f>+B400</f>
        <v>45996</v>
      </c>
      <c r="C403" s="68" t="s">
        <v>43</v>
      </c>
      <c r="D403" s="75" t="s">
        <v>63</v>
      </c>
      <c r="E403" s="68"/>
      <c r="F403" s="70">
        <v>287375</v>
      </c>
      <c r="G403" s="68"/>
      <c r="H403" s="124">
        <f>1100000/4</f>
        <v>275000</v>
      </c>
      <c r="J403"/>
      <c r="N403" s="111">
        <f>+N396</f>
        <v>46118</v>
      </c>
      <c r="O403" s="79">
        <f>+N403+1</f>
        <v>46119</v>
      </c>
      <c r="P403" s="80">
        <f>+O403+1</f>
        <v>46120</v>
      </c>
      <c r="Q403" s="81">
        <f>+P403+1</f>
        <v>46121</v>
      </c>
      <c r="R403" s="92">
        <f>+Q403+1</f>
        <v>46122</v>
      </c>
      <c r="S403" s="90">
        <f>+R403+1</f>
        <v>46123</v>
      </c>
      <c r="T403" s="11" t="str">
        <f>+N402</f>
        <v>ALEX BRAVO</v>
      </c>
    </row>
    <row r="404" spans="2:31" x14ac:dyDescent="0.25">
      <c r="B404" s="58">
        <f>+B403+7</f>
        <v>46003</v>
      </c>
      <c r="C404" s="59" t="s">
        <v>43</v>
      </c>
      <c r="D404" s="93" t="s">
        <v>44</v>
      </c>
      <c r="E404" s="59"/>
      <c r="F404" s="113"/>
      <c r="G404" s="59"/>
      <c r="H404" s="122"/>
      <c r="J404"/>
      <c r="K404" t="s">
        <v>93</v>
      </c>
      <c r="M404" s="55">
        <f>+((M406/5)/8)</f>
        <v>8625</v>
      </c>
      <c r="N404" s="15" t="str">
        <f t="shared" ref="N404" si="26">+IF(N405="","","17:00")</f>
        <v/>
      </c>
      <c r="O404" s="16" t="str">
        <f t="shared" ref="O404:R404" si="27">+IF(O405="","","17:00")</f>
        <v/>
      </c>
      <c r="P404" s="16" t="str">
        <f t="shared" si="27"/>
        <v/>
      </c>
      <c r="Q404" s="16" t="str">
        <f t="shared" si="27"/>
        <v/>
      </c>
      <c r="R404" s="16" t="str">
        <f t="shared" si="27"/>
        <v/>
      </c>
      <c r="S404" s="17"/>
    </row>
    <row r="405" spans="2:31" ht="15.75" thickBot="1" x14ac:dyDescent="0.3">
      <c r="B405" s="63">
        <f t="shared" ref="B405:B411" si="28">+B404</f>
        <v>46003</v>
      </c>
      <c r="C405" t="s">
        <v>43</v>
      </c>
      <c r="D405" s="36" t="s">
        <v>57</v>
      </c>
      <c r="F405" s="116">
        <v>280000</v>
      </c>
      <c r="H405" s="55">
        <v>280000</v>
      </c>
      <c r="J405"/>
      <c r="N405" s="128"/>
      <c r="O405" s="129"/>
      <c r="P405" s="19"/>
      <c r="Q405" s="19"/>
      <c r="R405" s="19"/>
      <c r="S405" s="20"/>
      <c r="T405" s="51"/>
    </row>
    <row r="406" spans="2:31" ht="15.75" thickBot="1" x14ac:dyDescent="0.3">
      <c r="B406" s="63">
        <f t="shared" si="28"/>
        <v>46003</v>
      </c>
      <c r="C406" t="s">
        <v>43</v>
      </c>
      <c r="D406" s="36" t="s">
        <v>45</v>
      </c>
      <c r="F406" s="116">
        <v>200000</v>
      </c>
      <c r="H406" s="55" cm="1">
        <f t="array" aca="1" ref="H406" ca="1">IFERROR(INDIRECT(tMov[[#This Row],[Detalle]]),0)</f>
        <v>204000</v>
      </c>
      <c r="J406"/>
      <c r="M406" s="56">
        <f>+Hoja1!L19</f>
        <v>345000</v>
      </c>
      <c r="N406" s="112">
        <f t="shared" ref="N406:S406" si="29">IFERROR((N405*24)-(N404*24),0)</f>
        <v>0</v>
      </c>
      <c r="O406" s="87">
        <f t="shared" si="29"/>
        <v>0</v>
      </c>
      <c r="P406" s="87">
        <f t="shared" si="29"/>
        <v>0</v>
      </c>
      <c r="Q406" s="87">
        <f t="shared" si="29"/>
        <v>0</v>
      </c>
      <c r="R406" s="87">
        <f t="shared" si="29"/>
        <v>0</v>
      </c>
      <c r="S406" s="91">
        <f t="shared" si="29"/>
        <v>0</v>
      </c>
      <c r="T406" s="89">
        <f>+SUM(N406:S406)</f>
        <v>0</v>
      </c>
      <c r="U406" s="11" t="s">
        <v>91</v>
      </c>
    </row>
    <row r="407" spans="2:31" ht="15.75" thickBot="1" x14ac:dyDescent="0.3">
      <c r="B407" s="63">
        <f t="shared" si="28"/>
        <v>46003</v>
      </c>
      <c r="C407" t="s">
        <v>43</v>
      </c>
      <c r="D407" s="36" t="s">
        <v>51</v>
      </c>
      <c r="F407" s="116">
        <f>200000+200000+213000+49379</f>
        <v>662379</v>
      </c>
      <c r="H407" s="123">
        <v>650000</v>
      </c>
      <c r="J407"/>
      <c r="N407" s="85"/>
      <c r="O407" s="8"/>
      <c r="P407" s="8"/>
      <c r="Q407" s="8"/>
      <c r="R407" s="8"/>
      <c r="S407" s="8"/>
    </row>
    <row r="408" spans="2:31" ht="15.75" thickBot="1" x14ac:dyDescent="0.3">
      <c r="B408" s="63">
        <f t="shared" si="28"/>
        <v>46003</v>
      </c>
      <c r="C408" t="s">
        <v>43</v>
      </c>
      <c r="D408" s="36" t="s">
        <v>63</v>
      </c>
      <c r="F408" s="116">
        <f>48000+155670+182924</f>
        <v>386594</v>
      </c>
      <c r="H408" s="57">
        <f>275000+48000</f>
        <v>323000</v>
      </c>
      <c r="J408"/>
      <c r="N408" s="94">
        <f t="shared" ref="N408:S408" si="30">+IF(N407="feriado",N406*$M$404,N406*$M$404*1.5)</f>
        <v>0</v>
      </c>
      <c r="O408" s="88">
        <f t="shared" si="30"/>
        <v>0</v>
      </c>
      <c r="P408" s="88">
        <f t="shared" si="30"/>
        <v>0</v>
      </c>
      <c r="Q408" s="88">
        <f t="shared" si="30"/>
        <v>0</v>
      </c>
      <c r="R408" s="88">
        <f t="shared" si="30"/>
        <v>0</v>
      </c>
      <c r="S408" s="88">
        <f t="shared" si="30"/>
        <v>0</v>
      </c>
      <c r="T408" s="86">
        <f>+SUM(N408:S408)</f>
        <v>0</v>
      </c>
    </row>
    <row r="409" spans="2:31" x14ac:dyDescent="0.25">
      <c r="B409" s="63">
        <f t="shared" si="28"/>
        <v>46003</v>
      </c>
      <c r="C409" t="s">
        <v>43</v>
      </c>
      <c r="D409" s="36" t="s">
        <v>69</v>
      </c>
      <c r="F409" s="116">
        <f>32500+300000+460000</f>
        <v>792500</v>
      </c>
      <c r="H409" s="123">
        <f>250000+500000+31000</f>
        <v>781000</v>
      </c>
      <c r="J409"/>
      <c r="K409" s="11" t="s">
        <v>89</v>
      </c>
      <c r="N409" s="55"/>
      <c r="O409" s="55"/>
      <c r="P409" s="55"/>
      <c r="Q409" s="55"/>
      <c r="R409" s="55"/>
    </row>
    <row r="410" spans="2:31" ht="15.75" thickBot="1" x14ac:dyDescent="0.3">
      <c r="B410" s="63">
        <f t="shared" si="28"/>
        <v>46003</v>
      </c>
      <c r="C410" t="s">
        <v>43</v>
      </c>
      <c r="D410" s="36" t="s">
        <v>52</v>
      </c>
      <c r="F410" s="116"/>
      <c r="H410" s="123"/>
      <c r="J410"/>
      <c r="N410" s="11" t="s">
        <v>94</v>
      </c>
    </row>
    <row r="411" spans="2:31" ht="15.75" thickBot="1" x14ac:dyDescent="0.3">
      <c r="B411" s="63">
        <f t="shared" si="28"/>
        <v>46003</v>
      </c>
      <c r="C411" t="s">
        <v>43</v>
      </c>
      <c r="D411" s="36" t="s">
        <v>85</v>
      </c>
      <c r="F411" s="116">
        <f>90000+90000</f>
        <v>180000</v>
      </c>
      <c r="H411" s="123">
        <v>180000</v>
      </c>
      <c r="J411"/>
      <c r="N411" s="111">
        <v>46125</v>
      </c>
      <c r="O411" s="79">
        <f>+N411+1</f>
        <v>46126</v>
      </c>
      <c r="P411" s="80">
        <f>+O411+1</f>
        <v>46127</v>
      </c>
      <c r="Q411" s="81">
        <f>+P411+1</f>
        <v>46128</v>
      </c>
      <c r="R411" s="92">
        <f>+Q411+1</f>
        <v>46129</v>
      </c>
      <c r="S411" s="90">
        <f>+R411+1</f>
        <v>46130</v>
      </c>
      <c r="T411" s="11" t="str">
        <f>+N410</f>
        <v>GABY MAYESKI</v>
      </c>
      <c r="W411" s="111">
        <f>+S411+2</f>
        <v>46132</v>
      </c>
      <c r="X411" s="79">
        <f>+W411+1</f>
        <v>46133</v>
      </c>
      <c r="Y411" s="80">
        <f>+X411+1</f>
        <v>46134</v>
      </c>
      <c r="Z411" s="81">
        <f>+Y411+1</f>
        <v>46135</v>
      </c>
      <c r="AA411" s="92">
        <f>+Z411+1</f>
        <v>46136</v>
      </c>
      <c r="AB411" s="90">
        <f>+AA411+1</f>
        <v>46137</v>
      </c>
      <c r="AC411" s="11" t="str">
        <f>+T411</f>
        <v>GABY MAYESKI</v>
      </c>
    </row>
    <row r="412" spans="2:31" ht="15.75" thickBot="1" x14ac:dyDescent="0.3">
      <c r="B412" s="67">
        <f>+B409</f>
        <v>46003</v>
      </c>
      <c r="C412" s="68" t="s">
        <v>43</v>
      </c>
      <c r="D412" s="69" t="s">
        <v>68</v>
      </c>
      <c r="E412" s="68"/>
      <c r="F412" s="116">
        <v>575000</v>
      </c>
      <c r="G412" s="68"/>
      <c r="H412" s="123">
        <v>575000</v>
      </c>
      <c r="J412"/>
      <c r="M412" s="55">
        <f>+((M414/5)/8)</f>
        <v>8125</v>
      </c>
      <c r="N412" s="15" t="str">
        <f t="shared" ref="N412:O412" si="31">+IF(N413="","","17:00")</f>
        <v/>
      </c>
      <c r="O412" s="16" t="str">
        <f t="shared" si="31"/>
        <v/>
      </c>
      <c r="P412" s="16" t="str">
        <f t="shared" ref="P412:R412" si="32">+IF(P413="","","17:00")</f>
        <v/>
      </c>
      <c r="Q412" s="16" t="str">
        <f t="shared" si="32"/>
        <v/>
      </c>
      <c r="R412" s="16" t="str">
        <f t="shared" si="32"/>
        <v/>
      </c>
      <c r="S412" s="17"/>
      <c r="W412" s="15"/>
      <c r="X412" s="16" t="str">
        <f t="shared" ref="X412:AA412" si="33">+IF(X413="","","17:00")</f>
        <v/>
      </c>
      <c r="Y412" s="16" t="str">
        <f t="shared" si="33"/>
        <v/>
      </c>
      <c r="Z412" s="16" t="str">
        <f t="shared" si="33"/>
        <v/>
      </c>
      <c r="AA412" s="16" t="str">
        <f t="shared" si="33"/>
        <v/>
      </c>
      <c r="AB412" s="17" t="str">
        <f t="shared" ref="AB412" si="34">+IF(AB413="","","17:00")</f>
        <v/>
      </c>
    </row>
    <row r="413" spans="2:31" ht="15.75" thickBot="1" x14ac:dyDescent="0.3">
      <c r="B413" s="58">
        <f>+B412+7</f>
        <v>46010</v>
      </c>
      <c r="C413" s="59" t="s">
        <v>43</v>
      </c>
      <c r="D413" s="72" t="s">
        <v>44</v>
      </c>
      <c r="E413" s="59"/>
      <c r="F413" s="147"/>
      <c r="G413" s="59"/>
      <c r="H413" s="122"/>
      <c r="J413"/>
      <c r="K413" t="s">
        <v>93</v>
      </c>
      <c r="N413" s="128"/>
      <c r="O413" s="129"/>
      <c r="P413" s="19"/>
      <c r="Q413" s="19"/>
      <c r="R413" s="19"/>
      <c r="S413" s="20"/>
      <c r="W413" s="128"/>
      <c r="X413" s="129"/>
      <c r="Y413" s="19"/>
      <c r="Z413" s="19"/>
      <c r="AA413" s="19"/>
      <c r="AB413" s="20"/>
    </row>
    <row r="414" spans="2:31" ht="15.75" thickBot="1" x14ac:dyDescent="0.3">
      <c r="B414" s="63">
        <f t="shared" ref="B414:B418" si="35">+B413</f>
        <v>46010</v>
      </c>
      <c r="C414" t="s">
        <v>43</v>
      </c>
      <c r="D414" s="74" t="s">
        <v>45</v>
      </c>
      <c r="F414" s="123">
        <v>174000</v>
      </c>
      <c r="J414"/>
      <c r="M414" s="56">
        <f>+Hoja1!I21/2</f>
        <v>325000</v>
      </c>
      <c r="N414" s="112">
        <f t="shared" ref="N414:S414" si="36">IFERROR((N413*24)-(N412*24),0)</f>
        <v>0</v>
      </c>
      <c r="O414" s="87">
        <f t="shared" si="36"/>
        <v>0</v>
      </c>
      <c r="P414" s="87">
        <f t="shared" si="36"/>
        <v>0</v>
      </c>
      <c r="Q414" s="87">
        <f t="shared" si="36"/>
        <v>0</v>
      </c>
      <c r="R414" s="87">
        <f t="shared" si="36"/>
        <v>0</v>
      </c>
      <c r="S414" s="91">
        <f t="shared" si="36"/>
        <v>0</v>
      </c>
      <c r="T414" s="89">
        <f>+SUM(N414:S414)</f>
        <v>0</v>
      </c>
      <c r="U414" s="11" t="s">
        <v>91</v>
      </c>
      <c r="W414" s="112">
        <f t="shared" ref="W414" si="37">IFERROR((W413*24)-(W412*24),0)</f>
        <v>0</v>
      </c>
      <c r="X414" s="87">
        <f t="shared" ref="X414:AB414" si="38">IFERROR((X413*24)-(X412*24),0)</f>
        <v>0</v>
      </c>
      <c r="Y414" s="87">
        <f t="shared" si="38"/>
        <v>0</v>
      </c>
      <c r="Z414" s="87">
        <f t="shared" ref="Z414:AA414" si="39">IFERROR((Z413*24)-(Z412*24),0)</f>
        <v>0</v>
      </c>
      <c r="AA414" s="87">
        <f t="shared" si="39"/>
        <v>0</v>
      </c>
      <c r="AB414" s="91">
        <f t="shared" si="38"/>
        <v>0</v>
      </c>
      <c r="AC414" s="89">
        <f>+SUM(W414:AB414)</f>
        <v>0</v>
      </c>
      <c r="AD414" s="11" t="s">
        <v>91</v>
      </c>
    </row>
    <row r="415" spans="2:31" ht="15.75" thickBot="1" x14ac:dyDescent="0.3">
      <c r="B415" s="63">
        <f t="shared" si="35"/>
        <v>46010</v>
      </c>
      <c r="C415" t="s">
        <v>43</v>
      </c>
      <c r="D415" s="74" t="s">
        <v>69</v>
      </c>
      <c r="F415" s="116">
        <f>32500+32500+32500+409000+15000+125000+100000+3500</f>
        <v>750000</v>
      </c>
      <c r="H415" s="123">
        <f>250000+500000</f>
        <v>750000</v>
      </c>
      <c r="J415"/>
      <c r="K415" s="130" t="s">
        <v>95</v>
      </c>
      <c r="N415" s="85"/>
      <c r="O415" s="8"/>
      <c r="P415" s="8"/>
      <c r="Q415" s="8"/>
      <c r="R415" s="8"/>
      <c r="S415" s="8"/>
      <c r="W415" s="85"/>
      <c r="X415" s="8"/>
      <c r="Y415" s="8"/>
      <c r="Z415" s="8"/>
      <c r="AA415" s="8"/>
      <c r="AB415" s="8"/>
    </row>
    <row r="416" spans="2:31" ht="15.75" thickBot="1" x14ac:dyDescent="0.3">
      <c r="B416" s="63">
        <f t="shared" si="35"/>
        <v>46010</v>
      </c>
      <c r="C416" t="s">
        <v>43</v>
      </c>
      <c r="D416" s="74" t="s">
        <v>57</v>
      </c>
      <c r="F416" s="123">
        <v>232330</v>
      </c>
      <c r="H416" s="55">
        <v>280000</v>
      </c>
      <c r="J416"/>
      <c r="N416" s="94">
        <f t="shared" ref="N416:S416" si="40">+IF(N415="feriado",N414*$M$412,N414*$M$412*1.5)</f>
        <v>0</v>
      </c>
      <c r="O416" s="88">
        <f t="shared" si="40"/>
        <v>0</v>
      </c>
      <c r="P416" s="88">
        <f t="shared" si="40"/>
        <v>0</v>
      </c>
      <c r="Q416" s="88">
        <f t="shared" si="40"/>
        <v>0</v>
      </c>
      <c r="R416" s="88">
        <f t="shared" si="40"/>
        <v>0</v>
      </c>
      <c r="S416" s="88">
        <f t="shared" si="40"/>
        <v>0</v>
      </c>
      <c r="T416" s="86">
        <f>+SUM(N416:S416)</f>
        <v>0</v>
      </c>
      <c r="W416" s="94">
        <f>+IF(W415="feriado",W414*$M$412,W414*$M$412*1.5)</f>
        <v>0</v>
      </c>
      <c r="X416" s="88">
        <f>+IF(X415="feriado",X414*$M$412,X414*$M$412*1.5)</f>
        <v>0</v>
      </c>
      <c r="Y416" s="88">
        <f>+IF(Y415="feriado",Y414*$M$412,Y414*$M$412*1.5)</f>
        <v>0</v>
      </c>
      <c r="Z416" s="88">
        <f>+IF(Z415="feriado",Z414*$M$412,Z414*$M$412*1.5)</f>
        <v>0</v>
      </c>
      <c r="AA416" s="88">
        <f>+IF(AA415="feriado",AA414*$M$412,AA414*$M$412*1.5)</f>
        <v>0</v>
      </c>
      <c r="AB416" s="88">
        <f>+IF(AB415="feriado",AB414*$M$412,AB414*$M$412)</f>
        <v>0</v>
      </c>
      <c r="AC416" s="86">
        <f>+SUM(W416:AB416)</f>
        <v>0</v>
      </c>
      <c r="AE416" s="131">
        <f>+AC416+T416</f>
        <v>0</v>
      </c>
    </row>
    <row r="417" spans="2:29" x14ac:dyDescent="0.25">
      <c r="B417" s="63">
        <f t="shared" si="35"/>
        <v>46010</v>
      </c>
      <c r="C417" t="s">
        <v>43</v>
      </c>
      <c r="D417" s="74" t="s">
        <v>51</v>
      </c>
      <c r="F417" s="123">
        <f>400000+98985.99+151014</f>
        <v>649999.99</v>
      </c>
      <c r="H417" s="123">
        <v>650000</v>
      </c>
      <c r="J417"/>
      <c r="K417" s="11" t="s">
        <v>96</v>
      </c>
      <c r="N417" s="55"/>
      <c r="O417" s="55"/>
      <c r="P417" s="55"/>
      <c r="Q417" s="55"/>
      <c r="R417" s="55"/>
      <c r="S417" s="55"/>
    </row>
    <row r="418" spans="2:29" ht="15.75" thickBot="1" x14ac:dyDescent="0.3">
      <c r="B418" s="63">
        <f t="shared" si="35"/>
        <v>46010</v>
      </c>
      <c r="C418" t="s">
        <v>43</v>
      </c>
      <c r="D418" s="74" t="s">
        <v>85</v>
      </c>
      <c r="F418" s="123">
        <f>90000+90000</f>
        <v>180000</v>
      </c>
      <c r="H418" s="123">
        <v>180000</v>
      </c>
      <c r="J418"/>
      <c r="N418" s="11" t="s">
        <v>97</v>
      </c>
      <c r="AC418" s="110">
        <f>+AC414+T414</f>
        <v>0</v>
      </c>
    </row>
    <row r="419" spans="2:29" ht="15.75" thickBot="1" x14ac:dyDescent="0.3">
      <c r="B419" s="67">
        <f>+B416</f>
        <v>46010</v>
      </c>
      <c r="C419" s="68" t="s">
        <v>43</v>
      </c>
      <c r="D419" s="75" t="s">
        <v>63</v>
      </c>
      <c r="E419" s="68"/>
      <c r="F419" s="124">
        <f>20000+10000+500000+20000+275000+70469</f>
        <v>895469</v>
      </c>
      <c r="G419" s="68"/>
      <c r="H419" s="124">
        <f>(1100000/4)+550000</f>
        <v>825000</v>
      </c>
      <c r="J419"/>
      <c r="K419" s="11" t="s">
        <v>89</v>
      </c>
      <c r="N419" s="111">
        <f>+N411</f>
        <v>46125</v>
      </c>
      <c r="O419" s="79">
        <f>+N419+1</f>
        <v>46126</v>
      </c>
      <c r="P419" s="80">
        <f>+O419+1</f>
        <v>46127</v>
      </c>
      <c r="Q419" s="81">
        <f>+P419+1</f>
        <v>46128</v>
      </c>
      <c r="R419" s="92">
        <f>+Q419+1</f>
        <v>46129</v>
      </c>
      <c r="S419" s="90">
        <f>+R419+1</f>
        <v>46130</v>
      </c>
      <c r="T419" s="11" t="str">
        <f>+N418</f>
        <v>DAVID SALVATIERRA</v>
      </c>
    </row>
    <row r="420" spans="2:29" x14ac:dyDescent="0.25">
      <c r="B420" s="58">
        <f>+B419+7</f>
        <v>46017</v>
      </c>
      <c r="C420" s="59" t="s">
        <v>43</v>
      </c>
      <c r="D420" s="93" t="s">
        <v>44</v>
      </c>
      <c r="E420" s="59"/>
      <c r="F420" s="113">
        <f>250000+65000</f>
        <v>315000</v>
      </c>
      <c r="G420" s="59"/>
      <c r="H420" s="122">
        <v>300000</v>
      </c>
      <c r="J420"/>
      <c r="M420" s="55">
        <f>+((M422/5)/8)</f>
        <v>7375</v>
      </c>
      <c r="N420" s="15" t="str">
        <f t="shared" ref="N420:R420" si="41">+IF(N421="","","17:00")</f>
        <v/>
      </c>
      <c r="O420" s="16" t="str">
        <f t="shared" si="41"/>
        <v/>
      </c>
      <c r="P420" s="16" t="str">
        <f t="shared" si="41"/>
        <v/>
      </c>
      <c r="Q420" s="16" t="str">
        <f t="shared" si="41"/>
        <v/>
      </c>
      <c r="R420" s="16" t="str">
        <f t="shared" si="41"/>
        <v/>
      </c>
      <c r="S420" s="17"/>
    </row>
    <row r="421" spans="2:29" ht="15.75" thickBot="1" x14ac:dyDescent="0.3">
      <c r="B421" s="63">
        <f t="shared" ref="B421:B427" si="42">+B420</f>
        <v>46017</v>
      </c>
      <c r="C421" t="s">
        <v>43</v>
      </c>
      <c r="D421" s="36" t="s">
        <v>57</v>
      </c>
      <c r="F421" s="116">
        <f>283300+556700</f>
        <v>840000</v>
      </c>
      <c r="H421" s="55">
        <f>280000</f>
        <v>280000</v>
      </c>
      <c r="J421"/>
      <c r="K421" s="11" t="s">
        <v>89</v>
      </c>
      <c r="N421" s="128"/>
      <c r="O421" s="129"/>
      <c r="P421" s="19"/>
      <c r="Q421" s="19"/>
      <c r="R421" s="19"/>
      <c r="S421" s="20"/>
    </row>
    <row r="422" spans="2:29" ht="15.75" thickBot="1" x14ac:dyDescent="0.3">
      <c r="B422" s="63">
        <f t="shared" si="42"/>
        <v>46017</v>
      </c>
      <c r="C422" t="s">
        <v>43</v>
      </c>
      <c r="D422" s="36" t="s">
        <v>45</v>
      </c>
      <c r="F422" s="116">
        <v>130000</v>
      </c>
      <c r="H422" s="123">
        <v>0</v>
      </c>
      <c r="J422"/>
      <c r="K422" s="11" t="s">
        <v>89</v>
      </c>
      <c r="M422" s="56">
        <f>+Hoja1!L23</f>
        <v>295000</v>
      </c>
      <c r="N422" s="112">
        <f t="shared" ref="N422:S422" si="43">IFERROR((N421*24)-(N420*24),0)</f>
        <v>0</v>
      </c>
      <c r="O422" s="87">
        <f t="shared" si="43"/>
        <v>0</v>
      </c>
      <c r="P422" s="87">
        <f t="shared" si="43"/>
        <v>0</v>
      </c>
      <c r="Q422" s="87">
        <f t="shared" ref="Q422:R422" si="44">IFERROR((Q421*24)-(Q420*24),0)</f>
        <v>0</v>
      </c>
      <c r="R422" s="87">
        <f t="shared" si="44"/>
        <v>0</v>
      </c>
      <c r="S422" s="91">
        <f t="shared" si="43"/>
        <v>0</v>
      </c>
      <c r="T422" s="89">
        <f>+SUM(N422:S422)</f>
        <v>0</v>
      </c>
      <c r="U422" s="11" t="s">
        <v>91</v>
      </c>
    </row>
    <row r="423" spans="2:29" ht="15.75" thickBot="1" x14ac:dyDescent="0.3">
      <c r="B423" s="63">
        <f t="shared" si="42"/>
        <v>46017</v>
      </c>
      <c r="C423" t="s">
        <v>43</v>
      </c>
      <c r="D423" s="36" t="s">
        <v>51</v>
      </c>
      <c r="F423" s="116">
        <f>560500+104000</f>
        <v>664500</v>
      </c>
      <c r="H423" s="123">
        <v>650000</v>
      </c>
      <c r="J423"/>
      <c r="N423" s="85"/>
      <c r="O423" s="8"/>
      <c r="P423" s="8"/>
      <c r="Q423" s="8"/>
      <c r="R423" s="8"/>
      <c r="S423" s="8"/>
    </row>
    <row r="424" spans="2:29" ht="15.75" thickBot="1" x14ac:dyDescent="0.3">
      <c r="B424" s="63">
        <f t="shared" si="42"/>
        <v>46017</v>
      </c>
      <c r="C424" t="s">
        <v>43</v>
      </c>
      <c r="D424" s="36" t="s">
        <v>63</v>
      </c>
      <c r="F424" s="116">
        <f>100000+100000+88750</f>
        <v>288750</v>
      </c>
      <c r="H424" s="57">
        <f>275000</f>
        <v>275000</v>
      </c>
      <c r="J424"/>
      <c r="K424" s="11"/>
      <c r="N424" s="94">
        <f t="shared" ref="N424:S424" si="45">+IF(N423="feriado",N422*$M$420,N422*$M$420*1.5)</f>
        <v>0</v>
      </c>
      <c r="O424" s="88">
        <f t="shared" si="45"/>
        <v>0</v>
      </c>
      <c r="P424" s="88">
        <f t="shared" si="45"/>
        <v>0</v>
      </c>
      <c r="Q424" s="88">
        <f t="shared" si="45"/>
        <v>0</v>
      </c>
      <c r="R424" s="88">
        <f t="shared" si="45"/>
        <v>0</v>
      </c>
      <c r="S424" s="88">
        <f t="shared" si="45"/>
        <v>0</v>
      </c>
      <c r="T424" s="86">
        <f>+SUM(N424:S424)</f>
        <v>0</v>
      </c>
    </row>
    <row r="425" spans="2:29" x14ac:dyDescent="0.25">
      <c r="B425" s="63">
        <f t="shared" si="42"/>
        <v>46017</v>
      </c>
      <c r="C425" t="s">
        <v>43</v>
      </c>
      <c r="D425" s="36" t="s">
        <v>69</v>
      </c>
      <c r="F425" s="116"/>
      <c r="H425" s="123"/>
      <c r="J425"/>
    </row>
    <row r="426" spans="2:29" ht="15.75" thickBot="1" x14ac:dyDescent="0.3">
      <c r="B426" s="63">
        <f t="shared" si="42"/>
        <v>46017</v>
      </c>
      <c r="C426" t="s">
        <v>43</v>
      </c>
      <c r="D426" s="36" t="s">
        <v>52</v>
      </c>
      <c r="F426" s="116"/>
      <c r="H426" s="123"/>
      <c r="J426"/>
      <c r="T426" s="55">
        <f>+M425*T422</f>
        <v>0</v>
      </c>
    </row>
    <row r="427" spans="2:29" x14ac:dyDescent="0.25">
      <c r="B427" s="63">
        <f t="shared" si="42"/>
        <v>46017</v>
      </c>
      <c r="C427" t="s">
        <v>43</v>
      </c>
      <c r="D427" s="36" t="s">
        <v>85</v>
      </c>
      <c r="F427" s="116">
        <v>90000</v>
      </c>
      <c r="H427" s="123">
        <v>90000</v>
      </c>
      <c r="N427" s="15" t="s">
        <v>98</v>
      </c>
      <c r="O427" s="16"/>
      <c r="P427" s="16"/>
      <c r="Q427" s="16"/>
      <c r="R427" s="16"/>
      <c r="S427" s="17" t="s">
        <v>98</v>
      </c>
    </row>
    <row r="428" spans="2:29" ht="15.75" thickBot="1" x14ac:dyDescent="0.3">
      <c r="B428" s="63">
        <f>+B425</f>
        <v>46017</v>
      </c>
      <c r="C428" t="s">
        <v>43</v>
      </c>
      <c r="D428" s="36" t="s">
        <v>68</v>
      </c>
      <c r="F428" s="116">
        <v>150000</v>
      </c>
      <c r="G428" s="68"/>
      <c r="H428" s="123">
        <f>575000+575000</f>
        <v>1150000</v>
      </c>
      <c r="J428"/>
      <c r="K428" s="11" t="s">
        <v>89</v>
      </c>
      <c r="N428" s="128"/>
      <c r="O428" s="129"/>
      <c r="P428" s="19"/>
      <c r="Q428" s="19"/>
      <c r="R428" s="19"/>
      <c r="S428" s="20"/>
    </row>
    <row r="429" spans="2:29" x14ac:dyDescent="0.25">
      <c r="B429" s="58">
        <f>+B428+7</f>
        <v>46024</v>
      </c>
      <c r="C429" s="59" t="s">
        <v>43</v>
      </c>
      <c r="D429" s="72" t="s">
        <v>44</v>
      </c>
      <c r="E429" s="59"/>
      <c r="F429" s="147">
        <f>161925.65+138074.35</f>
        <v>300000</v>
      </c>
      <c r="G429" s="59"/>
      <c r="H429" s="122">
        <v>300000</v>
      </c>
      <c r="J429"/>
    </row>
    <row r="430" spans="2:29" x14ac:dyDescent="0.25">
      <c r="B430" s="63">
        <f t="shared" ref="B430:B434" si="46">+B429</f>
        <v>46024</v>
      </c>
      <c r="C430" t="s">
        <v>43</v>
      </c>
      <c r="D430" s="74" t="s">
        <v>45</v>
      </c>
      <c r="F430" s="123">
        <v>125000</v>
      </c>
      <c r="H430" s="172">
        <v>0</v>
      </c>
      <c r="J430"/>
      <c r="K430" s="11" t="s">
        <v>89</v>
      </c>
    </row>
    <row r="431" spans="2:29" x14ac:dyDescent="0.25">
      <c r="B431" s="63">
        <f t="shared" si="46"/>
        <v>46024</v>
      </c>
      <c r="C431" t="s">
        <v>43</v>
      </c>
      <c r="D431" s="74" t="s">
        <v>69</v>
      </c>
      <c r="F431" s="123"/>
      <c r="H431" s="123">
        <v>0</v>
      </c>
      <c r="J431"/>
      <c r="K431" t="s">
        <v>93</v>
      </c>
    </row>
    <row r="432" spans="2:29" x14ac:dyDescent="0.25">
      <c r="B432" s="63">
        <f t="shared" si="46"/>
        <v>46024</v>
      </c>
      <c r="C432" t="s">
        <v>43</v>
      </c>
      <c r="D432" s="74" t="s">
        <v>57</v>
      </c>
      <c r="F432" s="123">
        <v>280000</v>
      </c>
      <c r="H432" s="123">
        <f>280000</f>
        <v>280000</v>
      </c>
      <c r="J432"/>
      <c r="K432" s="11"/>
    </row>
    <row r="433" spans="2:14" x14ac:dyDescent="0.25">
      <c r="B433" s="63">
        <f t="shared" si="46"/>
        <v>46024</v>
      </c>
      <c r="C433" t="s">
        <v>43</v>
      </c>
      <c r="D433" s="74" t="s">
        <v>85</v>
      </c>
      <c r="F433" s="123"/>
      <c r="H433" s="123">
        <v>0</v>
      </c>
      <c r="J433"/>
    </row>
    <row r="434" spans="2:14" ht="15.75" thickBot="1" x14ac:dyDescent="0.3">
      <c r="B434" s="63">
        <f t="shared" si="46"/>
        <v>46024</v>
      </c>
      <c r="C434" t="s">
        <v>43</v>
      </c>
      <c r="D434" s="74" t="s">
        <v>63</v>
      </c>
      <c r="F434" s="123">
        <f>100000+185828</f>
        <v>285828</v>
      </c>
      <c r="G434" s="68"/>
      <c r="H434" s="124">
        <f>1100000/4</f>
        <v>275000</v>
      </c>
      <c r="J434"/>
    </row>
    <row r="435" spans="2:14" x14ac:dyDescent="0.25">
      <c r="B435" s="58">
        <f>+B434+7</f>
        <v>46031</v>
      </c>
      <c r="C435" s="59" t="s">
        <v>43</v>
      </c>
      <c r="D435" s="93" t="s">
        <v>44</v>
      </c>
      <c r="E435" s="59"/>
      <c r="F435" s="113">
        <v>300000</v>
      </c>
      <c r="G435" s="59"/>
      <c r="H435" s="122">
        <v>300000</v>
      </c>
      <c r="J435" s="55"/>
      <c r="M435" s="171"/>
    </row>
    <row r="436" spans="2:14" x14ac:dyDescent="0.25">
      <c r="B436" s="63">
        <f t="shared" ref="B436:B442" si="47">+B435</f>
        <v>46031</v>
      </c>
      <c r="C436" t="s">
        <v>43</v>
      </c>
      <c r="D436" s="36" t="s">
        <v>57</v>
      </c>
      <c r="F436" s="116">
        <f>210000+70000</f>
        <v>280000</v>
      </c>
      <c r="H436" s="55">
        <v>280000</v>
      </c>
      <c r="J436" s="55"/>
    </row>
    <row r="437" spans="2:14" x14ac:dyDescent="0.25">
      <c r="B437" s="63">
        <f t="shared" si="47"/>
        <v>46031</v>
      </c>
      <c r="C437" t="s">
        <v>43</v>
      </c>
      <c r="D437" s="36" t="s">
        <v>45</v>
      </c>
      <c r="F437" s="116">
        <f>100000+63000</f>
        <v>163000</v>
      </c>
      <c r="H437" s="55">
        <v>0</v>
      </c>
      <c r="J437" s="55"/>
      <c r="N437" s="55"/>
    </row>
    <row r="438" spans="2:14" x14ac:dyDescent="0.25">
      <c r="B438" s="63">
        <f t="shared" si="47"/>
        <v>46031</v>
      </c>
      <c r="C438" t="s">
        <v>43</v>
      </c>
      <c r="D438" s="36" t="s">
        <v>51</v>
      </c>
      <c r="F438" s="116">
        <f>662390.625+66000</f>
        <v>728390.625</v>
      </c>
      <c r="H438" s="123">
        <v>650000</v>
      </c>
      <c r="J438" s="55"/>
      <c r="M438" s="170"/>
      <c r="N438" s="57"/>
    </row>
    <row r="439" spans="2:14" x14ac:dyDescent="0.25">
      <c r="B439" s="63">
        <f t="shared" si="47"/>
        <v>46031</v>
      </c>
      <c r="C439" t="s">
        <v>43</v>
      </c>
      <c r="D439" s="36" t="s">
        <v>63</v>
      </c>
      <c r="F439" s="116">
        <f>50000+124856+100000</f>
        <v>274856</v>
      </c>
      <c r="H439" s="57">
        <f>275000</f>
        <v>275000</v>
      </c>
      <c r="J439" s="55"/>
      <c r="N439" s="57"/>
    </row>
    <row r="440" spans="2:14" x14ac:dyDescent="0.25">
      <c r="B440" s="63">
        <f t="shared" si="47"/>
        <v>46031</v>
      </c>
      <c r="C440" t="s">
        <v>43</v>
      </c>
      <c r="D440" s="36" t="s">
        <v>69</v>
      </c>
      <c r="F440" s="116">
        <f>50000+200000</f>
        <v>250000</v>
      </c>
      <c r="H440" s="123">
        <v>250000</v>
      </c>
      <c r="J440"/>
      <c r="N440" s="57"/>
    </row>
    <row r="441" spans="2:14" x14ac:dyDescent="0.25">
      <c r="B441" s="63">
        <f t="shared" si="47"/>
        <v>46031</v>
      </c>
      <c r="C441" t="s">
        <v>43</v>
      </c>
      <c r="D441" s="36" t="s">
        <v>85</v>
      </c>
      <c r="F441" s="116">
        <f>90000+90000</f>
        <v>180000</v>
      </c>
      <c r="H441" s="57">
        <v>180000</v>
      </c>
      <c r="J441"/>
      <c r="N441" s="57"/>
    </row>
    <row r="442" spans="2:14" x14ac:dyDescent="0.25">
      <c r="B442" s="63">
        <f t="shared" si="47"/>
        <v>46031</v>
      </c>
      <c r="C442" t="s">
        <v>43</v>
      </c>
      <c r="D442" s="36" t="s">
        <v>99</v>
      </c>
      <c r="F442" s="116">
        <f>40000+40000+40000+40000</f>
        <v>160000</v>
      </c>
      <c r="H442" s="57">
        <f>40000*4</f>
        <v>160000</v>
      </c>
      <c r="J442"/>
    </row>
    <row r="443" spans="2:14" ht="15.75" thickBot="1" x14ac:dyDescent="0.3">
      <c r="B443" s="63">
        <f>+B440</f>
        <v>46031</v>
      </c>
      <c r="C443" t="s">
        <v>43</v>
      </c>
      <c r="D443" s="36" t="s">
        <v>68</v>
      </c>
      <c r="F443" s="116">
        <v>725000</v>
      </c>
      <c r="G443" s="68"/>
      <c r="H443" s="57">
        <f>575000+150000</f>
        <v>725000</v>
      </c>
      <c r="J443"/>
      <c r="N443" s="57"/>
    </row>
    <row r="444" spans="2:14" x14ac:dyDescent="0.25">
      <c r="B444" s="58">
        <f>+B443+7</f>
        <v>46038</v>
      </c>
      <c r="C444" s="59" t="s">
        <v>43</v>
      </c>
      <c r="D444" s="72" t="s">
        <v>44</v>
      </c>
      <c r="E444" s="59"/>
      <c r="F444" s="147">
        <f>288995+11005</f>
        <v>300000</v>
      </c>
      <c r="G444" s="59"/>
      <c r="H444" s="122">
        <v>300000</v>
      </c>
      <c r="J444"/>
      <c r="M444" s="6"/>
      <c r="N444" s="6"/>
    </row>
    <row r="445" spans="2:14" x14ac:dyDescent="0.25">
      <c r="B445" s="63">
        <f t="shared" ref="B445:B449" si="48">+B444</f>
        <v>46038</v>
      </c>
      <c r="C445" t="s">
        <v>43</v>
      </c>
      <c r="D445" s="74" t="s">
        <v>45</v>
      </c>
      <c r="F445" s="123">
        <v>178000</v>
      </c>
      <c r="J445"/>
    </row>
    <row r="446" spans="2:14" x14ac:dyDescent="0.25">
      <c r="B446" s="63">
        <f t="shared" si="48"/>
        <v>46038</v>
      </c>
      <c r="C446" t="s">
        <v>43</v>
      </c>
      <c r="D446" s="74" t="s">
        <v>69</v>
      </c>
      <c r="F446" s="123">
        <f>32500+10000+200000+7500</f>
        <v>250000</v>
      </c>
      <c r="H446" s="123">
        <v>250000</v>
      </c>
      <c r="J446"/>
      <c r="K446" t="s">
        <v>100</v>
      </c>
      <c r="M446" s="6"/>
      <c r="N446" s="6"/>
    </row>
    <row r="447" spans="2:14" x14ac:dyDescent="0.25">
      <c r="B447" s="63">
        <f t="shared" si="48"/>
        <v>46038</v>
      </c>
      <c r="C447" t="s">
        <v>43</v>
      </c>
      <c r="D447" s="74" t="s">
        <v>57</v>
      </c>
      <c r="F447" s="123">
        <f>227548+50000+2500</f>
        <v>280048</v>
      </c>
      <c r="H447" s="55">
        <f>280000</f>
        <v>280000</v>
      </c>
      <c r="J447"/>
      <c r="M447" s="6"/>
      <c r="N447" s="6"/>
    </row>
    <row r="448" spans="2:14" x14ac:dyDescent="0.25">
      <c r="B448" s="63">
        <f t="shared" si="48"/>
        <v>46038</v>
      </c>
      <c r="C448" t="s">
        <v>43</v>
      </c>
      <c r="D448" s="74" t="s">
        <v>85</v>
      </c>
      <c r="F448" s="123">
        <f>90000+90000</f>
        <v>180000</v>
      </c>
      <c r="H448" s="123">
        <v>180000</v>
      </c>
      <c r="J448"/>
    </row>
    <row r="449" spans="2:10" x14ac:dyDescent="0.25">
      <c r="B449" s="63">
        <f t="shared" si="48"/>
        <v>46038</v>
      </c>
      <c r="C449" t="s">
        <v>43</v>
      </c>
      <c r="D449" s="74" t="s">
        <v>101</v>
      </c>
      <c r="F449" s="123">
        <f>60000+40000+40000+80000</f>
        <v>220000</v>
      </c>
      <c r="H449" s="123">
        <f>60000+40000+40000+40000+40000</f>
        <v>220000</v>
      </c>
      <c r="J449"/>
    </row>
    <row r="450" spans="2:10" ht="15.75" thickBot="1" x14ac:dyDescent="0.3">
      <c r="B450" s="63">
        <f>+B448</f>
        <v>46038</v>
      </c>
      <c r="C450" t="s">
        <v>43</v>
      </c>
      <c r="D450" s="74" t="s">
        <v>63</v>
      </c>
      <c r="F450" s="123">
        <f>33000+100000+175000</f>
        <v>308000</v>
      </c>
      <c r="G450" s="68"/>
      <c r="H450" s="124">
        <f>(1100000/4)+33000</f>
        <v>308000</v>
      </c>
      <c r="J450"/>
    </row>
    <row r="451" spans="2:10" x14ac:dyDescent="0.25">
      <c r="B451" s="58">
        <f>+B450+7</f>
        <v>46045</v>
      </c>
      <c r="C451" s="59" t="s">
        <v>43</v>
      </c>
      <c r="D451" s="93" t="s">
        <v>44</v>
      </c>
      <c r="E451" s="59"/>
      <c r="F451" s="113">
        <f>151782.22+148218</f>
        <v>300000.21999999997</v>
      </c>
      <c r="G451" s="59"/>
      <c r="H451" s="122">
        <v>300000</v>
      </c>
      <c r="J451"/>
    </row>
    <row r="452" spans="2:10" x14ac:dyDescent="0.25">
      <c r="B452" s="63">
        <f t="shared" ref="B452:B458" si="49">+B451</f>
        <v>46045</v>
      </c>
      <c r="C452" t="s">
        <v>43</v>
      </c>
      <c r="D452" s="36" t="s">
        <v>57</v>
      </c>
      <c r="F452" s="116">
        <v>280000</v>
      </c>
      <c r="H452" s="55">
        <v>280000</v>
      </c>
      <c r="J452"/>
    </row>
    <row r="453" spans="2:10" x14ac:dyDescent="0.25">
      <c r="B453" s="63">
        <f t="shared" si="49"/>
        <v>46045</v>
      </c>
      <c r="C453" t="s">
        <v>43</v>
      </c>
      <c r="D453" s="36" t="s">
        <v>45</v>
      </c>
      <c r="F453" s="116">
        <v>202000</v>
      </c>
      <c r="J453"/>
    </row>
    <row r="454" spans="2:10" x14ac:dyDescent="0.25">
      <c r="B454" s="63">
        <f t="shared" si="49"/>
        <v>46045</v>
      </c>
      <c r="C454" t="s">
        <v>43</v>
      </c>
      <c r="D454" s="36" t="s">
        <v>51</v>
      </c>
      <c r="F454" s="116">
        <f>303990+346000</f>
        <v>649990</v>
      </c>
      <c r="H454" s="123">
        <v>650000</v>
      </c>
      <c r="J454"/>
    </row>
    <row r="455" spans="2:10" x14ac:dyDescent="0.25">
      <c r="B455" s="63">
        <f t="shared" si="49"/>
        <v>46045</v>
      </c>
      <c r="C455" t="s">
        <v>43</v>
      </c>
      <c r="D455" s="36" t="s">
        <v>63</v>
      </c>
      <c r="F455" s="116">
        <f>30000+80000+220000</f>
        <v>330000</v>
      </c>
      <c r="H455" s="57">
        <v>330000</v>
      </c>
      <c r="J455"/>
    </row>
    <row r="456" spans="2:10" x14ac:dyDescent="0.25">
      <c r="B456" s="63">
        <f t="shared" si="49"/>
        <v>46045</v>
      </c>
      <c r="C456" t="s">
        <v>43</v>
      </c>
      <c r="D456" s="36" t="s">
        <v>69</v>
      </c>
      <c r="F456" s="116">
        <f>180000+40000+30000</f>
        <v>250000</v>
      </c>
      <c r="H456" s="123">
        <v>250000</v>
      </c>
      <c r="J456"/>
    </row>
    <row r="457" spans="2:10" x14ac:dyDescent="0.25">
      <c r="B457" s="63">
        <f t="shared" si="49"/>
        <v>46045</v>
      </c>
      <c r="C457" t="s">
        <v>43</v>
      </c>
      <c r="D457" s="36" t="s">
        <v>85</v>
      </c>
      <c r="F457" s="116">
        <f>90000+90000+90000</f>
        <v>270000</v>
      </c>
      <c r="H457" s="123">
        <v>270000</v>
      </c>
      <c r="J457"/>
    </row>
    <row r="458" spans="2:10" x14ac:dyDescent="0.25">
      <c r="B458" s="63">
        <f t="shared" si="49"/>
        <v>46045</v>
      </c>
      <c r="C458" t="s">
        <v>43</v>
      </c>
      <c r="D458" s="36" t="s">
        <v>99</v>
      </c>
      <c r="F458" s="116">
        <f>40000+40000+40000+40000+40000</f>
        <v>200000</v>
      </c>
      <c r="H458" s="123">
        <f>40000+40000+40000+40000+40000</f>
        <v>200000</v>
      </c>
      <c r="J458"/>
    </row>
    <row r="459" spans="2:10" ht="15.75" thickBot="1" x14ac:dyDescent="0.3">
      <c r="B459" s="63">
        <f>+B456</f>
        <v>46045</v>
      </c>
      <c r="C459" t="s">
        <v>43</v>
      </c>
      <c r="D459" s="36" t="s">
        <v>68</v>
      </c>
      <c r="F459" s="116">
        <v>425000</v>
      </c>
      <c r="G459" s="68"/>
      <c r="H459" s="123">
        <f>575000-150000</f>
        <v>425000</v>
      </c>
      <c r="J459"/>
    </row>
    <row r="460" spans="2:10" x14ac:dyDescent="0.25">
      <c r="B460" s="58">
        <f>+B459+7</f>
        <v>46052</v>
      </c>
      <c r="C460" s="59" t="s">
        <v>43</v>
      </c>
      <c r="D460" s="72" t="s">
        <v>44</v>
      </c>
      <c r="E460" s="59"/>
      <c r="F460" s="147">
        <f>254280+50000+125658</f>
        <v>429938</v>
      </c>
      <c r="G460" s="59"/>
      <c r="H460" s="122">
        <v>300000</v>
      </c>
      <c r="J460"/>
    </row>
    <row r="461" spans="2:10" x14ac:dyDescent="0.25">
      <c r="B461" s="63">
        <f t="shared" ref="B461:B465" si="50">+B460</f>
        <v>46052</v>
      </c>
      <c r="C461" t="s">
        <v>43</v>
      </c>
      <c r="D461" s="74" t="s">
        <v>45</v>
      </c>
      <c r="F461" s="123">
        <v>189000</v>
      </c>
      <c r="J461"/>
    </row>
    <row r="462" spans="2:10" x14ac:dyDescent="0.25">
      <c r="B462" s="63">
        <f t="shared" si="50"/>
        <v>46052</v>
      </c>
      <c r="C462" t="s">
        <v>43</v>
      </c>
      <c r="D462" s="74" t="s">
        <v>69</v>
      </c>
      <c r="F462" s="123">
        <f>10000+200000+140000</f>
        <v>350000</v>
      </c>
      <c r="H462" s="123">
        <v>290000</v>
      </c>
      <c r="J462"/>
    </row>
    <row r="463" spans="2:10" x14ac:dyDescent="0.25">
      <c r="B463" s="63">
        <f t="shared" si="50"/>
        <v>46052</v>
      </c>
      <c r="C463" t="s">
        <v>43</v>
      </c>
      <c r="D463" s="74" t="s">
        <v>57</v>
      </c>
      <c r="F463" s="123">
        <f>288600+551400</f>
        <v>840000</v>
      </c>
      <c r="H463" s="55">
        <f>280000+280000+280000</f>
        <v>840000</v>
      </c>
      <c r="J463"/>
    </row>
    <row r="464" spans="2:10" x14ac:dyDescent="0.25">
      <c r="B464" s="63">
        <f t="shared" si="50"/>
        <v>46052</v>
      </c>
      <c r="C464" t="s">
        <v>43</v>
      </c>
      <c r="D464" s="74" t="s">
        <v>85</v>
      </c>
      <c r="F464" s="123">
        <f>110000+90000+90000</f>
        <v>290000</v>
      </c>
      <c r="H464" s="123">
        <f>110000+90000+90000</f>
        <v>290000</v>
      </c>
      <c r="J464"/>
    </row>
    <row r="465" spans="2:15" x14ac:dyDescent="0.25">
      <c r="B465" s="63">
        <f t="shared" si="50"/>
        <v>46052</v>
      </c>
      <c r="C465" t="s">
        <v>43</v>
      </c>
      <c r="D465" s="74" t="s">
        <v>99</v>
      </c>
      <c r="F465" s="123">
        <f>40000+80000+70000+10000</f>
        <v>200000</v>
      </c>
      <c r="H465" s="123">
        <f>40000*5</f>
        <v>200000</v>
      </c>
      <c r="J465"/>
    </row>
    <row r="466" spans="2:15" ht="15.75" thickBot="1" x14ac:dyDescent="0.3">
      <c r="B466" s="63">
        <f>+B464</f>
        <v>46052</v>
      </c>
      <c r="C466" t="s">
        <v>43</v>
      </c>
      <c r="D466" s="74" t="s">
        <v>63</v>
      </c>
      <c r="F466" s="123">
        <f>130000+150000+219744</f>
        <v>499744</v>
      </c>
      <c r="G466" s="68"/>
      <c r="H466" s="124">
        <v>330000</v>
      </c>
      <c r="J466"/>
    </row>
    <row r="467" spans="2:15" x14ac:dyDescent="0.25">
      <c r="B467" s="58">
        <f>+B466+7</f>
        <v>46059</v>
      </c>
      <c r="C467" s="59" t="s">
        <v>43</v>
      </c>
      <c r="D467" s="93" t="s">
        <v>44</v>
      </c>
      <c r="E467" s="59"/>
      <c r="F467" s="113">
        <v>300000</v>
      </c>
      <c r="G467" s="59"/>
      <c r="H467" s="122">
        <v>300000</v>
      </c>
      <c r="J467"/>
    </row>
    <row r="468" spans="2:15" x14ac:dyDescent="0.25">
      <c r="B468" s="63">
        <f t="shared" ref="B468:B474" si="51">+B467</f>
        <v>46059</v>
      </c>
      <c r="C468" t="s">
        <v>43</v>
      </c>
      <c r="D468" s="36" t="s">
        <v>57</v>
      </c>
      <c r="F468" s="116"/>
      <c r="H468" s="55"/>
      <c r="J468"/>
    </row>
    <row r="469" spans="2:15" x14ac:dyDescent="0.25">
      <c r="B469" s="63">
        <f t="shared" si="51"/>
        <v>46059</v>
      </c>
      <c r="C469" t="s">
        <v>43</v>
      </c>
      <c r="D469" s="36" t="s">
        <v>45</v>
      </c>
      <c r="F469" s="116">
        <f>150000+39000</f>
        <v>189000</v>
      </c>
      <c r="H469" s="123"/>
      <c r="J469"/>
    </row>
    <row r="470" spans="2:15" x14ac:dyDescent="0.25">
      <c r="B470" s="63">
        <f t="shared" si="51"/>
        <v>46059</v>
      </c>
      <c r="C470" t="s">
        <v>43</v>
      </c>
      <c r="D470" s="36" t="s">
        <v>51</v>
      </c>
      <c r="F470" s="116">
        <f>357044+130000+259439</f>
        <v>746483</v>
      </c>
      <c r="H470" s="123">
        <v>650000</v>
      </c>
      <c r="J470"/>
    </row>
    <row r="471" spans="2:15" x14ac:dyDescent="0.25">
      <c r="B471" s="63">
        <f t="shared" si="51"/>
        <v>46059</v>
      </c>
      <c r="C471" t="s">
        <v>43</v>
      </c>
      <c r="D471" s="36" t="s">
        <v>63</v>
      </c>
      <c r="F471" s="116">
        <f>150000+180000</f>
        <v>330000</v>
      </c>
      <c r="H471" s="57">
        <v>330000</v>
      </c>
      <c r="J471"/>
    </row>
    <row r="472" spans="2:15" x14ac:dyDescent="0.25">
      <c r="B472" s="63">
        <f t="shared" si="51"/>
        <v>46059</v>
      </c>
      <c r="C472" t="s">
        <v>43</v>
      </c>
      <c r="D472" s="36" t="s">
        <v>69</v>
      </c>
      <c r="F472" s="123">
        <f>100000+240000</f>
        <v>340000</v>
      </c>
      <c r="H472" s="123">
        <v>290000</v>
      </c>
      <c r="I472" s="6">
        <v>38606.250000000007</v>
      </c>
      <c r="J472" s="150"/>
    </row>
    <row r="473" spans="2:15" x14ac:dyDescent="0.25">
      <c r="B473" s="63">
        <f t="shared" si="51"/>
        <v>46059</v>
      </c>
      <c r="C473" t="s">
        <v>43</v>
      </c>
      <c r="D473" s="36" t="s">
        <v>85</v>
      </c>
      <c r="F473" s="116">
        <v>180000</v>
      </c>
      <c r="H473" s="123">
        <v>180000</v>
      </c>
      <c r="J473"/>
    </row>
    <row r="474" spans="2:15" x14ac:dyDescent="0.25">
      <c r="B474" s="63">
        <f t="shared" si="51"/>
        <v>46059</v>
      </c>
      <c r="C474" t="s">
        <v>43</v>
      </c>
      <c r="D474" s="36" t="s">
        <v>99</v>
      </c>
      <c r="F474" s="116">
        <f>80000+80000</f>
        <v>160000</v>
      </c>
      <c r="H474" s="123">
        <v>160000</v>
      </c>
      <c r="J474"/>
    </row>
    <row r="475" spans="2:15" ht="15.75" thickBot="1" x14ac:dyDescent="0.3">
      <c r="B475" s="63">
        <f>+B472</f>
        <v>46059</v>
      </c>
      <c r="C475" t="s">
        <v>43</v>
      </c>
      <c r="D475" s="36" t="s">
        <v>68</v>
      </c>
      <c r="F475" s="116">
        <f>300000+417692+32308</f>
        <v>750000</v>
      </c>
      <c r="G475" s="68"/>
      <c r="H475" s="123">
        <v>750000</v>
      </c>
      <c r="J475"/>
    </row>
    <row r="476" spans="2:15" x14ac:dyDescent="0.25">
      <c r="B476" s="58">
        <f>+B475+7</f>
        <v>46066</v>
      </c>
      <c r="C476" s="59" t="s">
        <v>43</v>
      </c>
      <c r="D476" s="72" t="s">
        <v>44</v>
      </c>
      <c r="E476" s="59"/>
      <c r="F476" s="147">
        <v>300000</v>
      </c>
      <c r="G476" s="59"/>
      <c r="H476" s="122">
        <v>300000</v>
      </c>
      <c r="J476"/>
    </row>
    <row r="477" spans="2:15" x14ac:dyDescent="0.25">
      <c r="B477" s="63">
        <f t="shared" ref="B477:B482" si="52">+B476</f>
        <v>46066</v>
      </c>
      <c r="C477" t="s">
        <v>43</v>
      </c>
      <c r="D477" s="74" t="s">
        <v>45</v>
      </c>
      <c r="F477" s="123">
        <f>150000+112000</f>
        <v>262000</v>
      </c>
      <c r="J477"/>
    </row>
    <row r="478" spans="2:15" x14ac:dyDescent="0.25">
      <c r="B478" s="63">
        <f t="shared" si="52"/>
        <v>46066</v>
      </c>
      <c r="C478" t="s">
        <v>43</v>
      </c>
      <c r="D478" s="74" t="s">
        <v>69</v>
      </c>
      <c r="F478" s="123">
        <f>20000+94498+80000+95502</f>
        <v>290000</v>
      </c>
      <c r="H478" s="123">
        <v>290000</v>
      </c>
      <c r="J478"/>
    </row>
    <row r="479" spans="2:15" x14ac:dyDescent="0.25">
      <c r="B479" s="63">
        <f t="shared" si="52"/>
        <v>46066</v>
      </c>
      <c r="C479" t="s">
        <v>43</v>
      </c>
      <c r="D479" s="74" t="s">
        <v>57</v>
      </c>
      <c r="F479" s="123"/>
      <c r="H479" s="55"/>
      <c r="J479"/>
      <c r="K479" t="s">
        <v>93</v>
      </c>
      <c r="N479">
        <v>290000</v>
      </c>
      <c r="O479">
        <v>32500</v>
      </c>
    </row>
    <row r="480" spans="2:15" x14ac:dyDescent="0.25">
      <c r="B480" s="63">
        <f t="shared" si="52"/>
        <v>46066</v>
      </c>
      <c r="C480" t="s">
        <v>43</v>
      </c>
      <c r="D480" s="74" t="s">
        <v>85</v>
      </c>
      <c r="F480" s="123">
        <v>80000</v>
      </c>
      <c r="H480" s="123">
        <v>80000</v>
      </c>
      <c r="J480"/>
    </row>
    <row r="481" spans="2:15" x14ac:dyDescent="0.25">
      <c r="B481" s="63">
        <f t="shared" si="52"/>
        <v>46066</v>
      </c>
      <c r="C481" t="s">
        <v>43</v>
      </c>
      <c r="D481" s="74" t="s">
        <v>99</v>
      </c>
      <c r="F481" s="123">
        <f>40000+40000+40000+80000</f>
        <v>200000</v>
      </c>
      <c r="H481" s="123">
        <f>40000*5</f>
        <v>200000</v>
      </c>
      <c r="J481"/>
      <c r="O481">
        <f>+N479-O479</f>
        <v>257500</v>
      </c>
    </row>
    <row r="482" spans="2:15" x14ac:dyDescent="0.25">
      <c r="B482" s="63">
        <f t="shared" si="52"/>
        <v>46066</v>
      </c>
      <c r="C482" t="s">
        <v>43</v>
      </c>
      <c r="D482" s="36" t="s">
        <v>51</v>
      </c>
      <c r="F482" s="123">
        <f>115593+763222+96185</f>
        <v>975000</v>
      </c>
      <c r="H482" s="123">
        <f>650000+(650000/2)</f>
        <v>975000</v>
      </c>
      <c r="J482"/>
      <c r="K482" t="s">
        <v>102</v>
      </c>
    </row>
    <row r="483" spans="2:15" ht="15.75" thickBot="1" x14ac:dyDescent="0.3">
      <c r="B483" s="63">
        <f>+B480</f>
        <v>46066</v>
      </c>
      <c r="C483" t="s">
        <v>43</v>
      </c>
      <c r="D483" s="74" t="s">
        <v>63</v>
      </c>
      <c r="F483" s="123">
        <f>58848+160000+111152</f>
        <v>330000</v>
      </c>
      <c r="G483" s="68"/>
      <c r="H483" s="124">
        <v>330000</v>
      </c>
      <c r="J483"/>
      <c r="O483">
        <v>41500</v>
      </c>
    </row>
    <row r="484" spans="2:15" x14ac:dyDescent="0.25">
      <c r="B484" s="58">
        <f>+B483+7</f>
        <v>46073</v>
      </c>
      <c r="C484" s="59" t="s">
        <v>43</v>
      </c>
      <c r="D484" s="93" t="s">
        <v>44</v>
      </c>
      <c r="E484" s="59"/>
      <c r="F484" s="113">
        <v>345000</v>
      </c>
      <c r="G484" s="59"/>
      <c r="H484" s="122">
        <v>345000</v>
      </c>
      <c r="J484"/>
    </row>
    <row r="485" spans="2:15" x14ac:dyDescent="0.25">
      <c r="B485" s="63">
        <f t="shared" ref="B485:B491" si="53">+B484</f>
        <v>46073</v>
      </c>
      <c r="C485" t="s">
        <v>43</v>
      </c>
      <c r="D485" s="36" t="s">
        <v>57</v>
      </c>
      <c r="F485" s="116">
        <v>280000</v>
      </c>
      <c r="H485" s="55">
        <v>280000</v>
      </c>
      <c r="J485"/>
      <c r="O485">
        <f>+O481+O483</f>
        <v>299000</v>
      </c>
    </row>
    <row r="486" spans="2:15" x14ac:dyDescent="0.25">
      <c r="B486" s="63">
        <f t="shared" si="53"/>
        <v>46073</v>
      </c>
      <c r="C486" t="s">
        <v>43</v>
      </c>
      <c r="D486" s="36" t="s">
        <v>45</v>
      </c>
      <c r="F486" s="116">
        <v>123000</v>
      </c>
      <c r="H486" s="55"/>
      <c r="J486"/>
    </row>
    <row r="487" spans="2:15" x14ac:dyDescent="0.25">
      <c r="B487" s="63">
        <f t="shared" si="53"/>
        <v>46073</v>
      </c>
      <c r="C487" t="s">
        <v>43</v>
      </c>
      <c r="D487" s="36" t="s">
        <v>51</v>
      </c>
      <c r="F487" s="116"/>
      <c r="H487" s="123"/>
      <c r="J487"/>
      <c r="K487" t="s">
        <v>93</v>
      </c>
    </row>
    <row r="488" spans="2:15" x14ac:dyDescent="0.25">
      <c r="B488" s="63">
        <f t="shared" si="53"/>
        <v>46073</v>
      </c>
      <c r="C488" t="s">
        <v>43</v>
      </c>
      <c r="D488" s="36" t="s">
        <v>63</v>
      </c>
      <c r="F488" s="116">
        <v>330000</v>
      </c>
      <c r="H488" s="57">
        <v>330000</v>
      </c>
      <c r="J488"/>
      <c r="L488">
        <v>257500</v>
      </c>
    </row>
    <row r="489" spans="2:15" x14ac:dyDescent="0.25">
      <c r="B489" s="63">
        <f t="shared" si="53"/>
        <v>46073</v>
      </c>
      <c r="C489" t="s">
        <v>43</v>
      </c>
      <c r="D489" s="36" t="s">
        <v>69</v>
      </c>
      <c r="F489" s="116">
        <f>32500+257500+5000</f>
        <v>295000</v>
      </c>
      <c r="H489" s="123">
        <v>295000</v>
      </c>
      <c r="J489"/>
      <c r="K489" t="s">
        <v>100</v>
      </c>
      <c r="L489">
        <v>298000</v>
      </c>
      <c r="M489">
        <f>+L489-L488</f>
        <v>40500</v>
      </c>
      <c r="N489" s="57"/>
    </row>
    <row r="490" spans="2:15" x14ac:dyDescent="0.25">
      <c r="B490" s="63">
        <f t="shared" si="53"/>
        <v>46073</v>
      </c>
      <c r="C490" t="s">
        <v>43</v>
      </c>
      <c r="D490" s="36" t="s">
        <v>85</v>
      </c>
      <c r="F490" s="116"/>
      <c r="H490" s="123">
        <v>0</v>
      </c>
      <c r="J490"/>
    </row>
    <row r="491" spans="2:15" x14ac:dyDescent="0.25">
      <c r="B491" s="63">
        <f t="shared" si="53"/>
        <v>46073</v>
      </c>
      <c r="C491" t="s">
        <v>43</v>
      </c>
      <c r="D491" s="36" t="s">
        <v>99</v>
      </c>
      <c r="F491" s="116">
        <f>80000+40000+80000</f>
        <v>200000</v>
      </c>
      <c r="H491" s="123">
        <f>40000*5</f>
        <v>200000</v>
      </c>
      <c r="J491"/>
    </row>
    <row r="492" spans="2:15" ht="15.75" thickBot="1" x14ac:dyDescent="0.3">
      <c r="B492" s="63">
        <f>+B489</f>
        <v>46073</v>
      </c>
      <c r="C492" t="s">
        <v>43</v>
      </c>
      <c r="D492" s="36" t="s">
        <v>68</v>
      </c>
      <c r="F492" s="116">
        <f>30000+70000+475000+60000+115000</f>
        <v>750000</v>
      </c>
      <c r="G492" s="68"/>
      <c r="H492" s="123">
        <v>750000</v>
      </c>
      <c r="J492"/>
    </row>
    <row r="493" spans="2:15" x14ac:dyDescent="0.25">
      <c r="B493" s="58">
        <f>+B492+7</f>
        <v>46080</v>
      </c>
      <c r="C493" s="59" t="s">
        <v>43</v>
      </c>
      <c r="D493" s="72" t="s">
        <v>44</v>
      </c>
      <c r="E493" s="59"/>
      <c r="F493" s="147">
        <f>168118.91+61714+115167</f>
        <v>344999.91000000003</v>
      </c>
      <c r="G493" s="59"/>
      <c r="H493" s="122">
        <f>+H484</f>
        <v>345000</v>
      </c>
      <c r="J493"/>
    </row>
    <row r="494" spans="2:15" x14ac:dyDescent="0.25">
      <c r="B494" s="63">
        <f t="shared" ref="B494:B498" si="54">+B493</f>
        <v>46080</v>
      </c>
      <c r="C494" t="s">
        <v>43</v>
      </c>
      <c r="D494" s="74" t="s">
        <v>45</v>
      </c>
      <c r="F494" s="123">
        <v>196000</v>
      </c>
      <c r="J494"/>
    </row>
    <row r="495" spans="2:15" x14ac:dyDescent="0.25">
      <c r="B495" s="63">
        <f t="shared" si="54"/>
        <v>46080</v>
      </c>
      <c r="C495" t="s">
        <v>43</v>
      </c>
      <c r="D495" s="74" t="s">
        <v>69</v>
      </c>
      <c r="F495" s="123">
        <f>221927+70000</f>
        <v>291927</v>
      </c>
      <c r="H495" s="123">
        <v>295000</v>
      </c>
      <c r="J495"/>
    </row>
    <row r="496" spans="2:15" x14ac:dyDescent="0.25">
      <c r="B496" s="63">
        <f t="shared" si="54"/>
        <v>46080</v>
      </c>
      <c r="C496" t="s">
        <v>43</v>
      </c>
      <c r="D496" s="74" t="s">
        <v>57</v>
      </c>
      <c r="F496" s="123">
        <v>280000</v>
      </c>
      <c r="H496" s="55">
        <v>280000</v>
      </c>
      <c r="J496"/>
    </row>
    <row r="497" spans="2:13" x14ac:dyDescent="0.25">
      <c r="B497" s="63">
        <f t="shared" si="54"/>
        <v>46080</v>
      </c>
      <c r="C497" t="s">
        <v>43</v>
      </c>
      <c r="D497" s="74" t="s">
        <v>85</v>
      </c>
      <c r="F497" s="123">
        <f>90000+90000</f>
        <v>180000</v>
      </c>
      <c r="H497" s="123">
        <f>90000*2</f>
        <v>180000</v>
      </c>
      <c r="J497"/>
    </row>
    <row r="498" spans="2:13" x14ac:dyDescent="0.25">
      <c r="B498" s="63">
        <f t="shared" si="54"/>
        <v>46080</v>
      </c>
      <c r="C498" t="s">
        <v>43</v>
      </c>
      <c r="D498" s="74" t="s">
        <v>99</v>
      </c>
      <c r="F498" s="123">
        <f>120000+80000</f>
        <v>200000</v>
      </c>
      <c r="H498" s="123">
        <v>160000</v>
      </c>
      <c r="J498"/>
    </row>
    <row r="499" spans="2:13" ht="15.75" thickBot="1" x14ac:dyDescent="0.3">
      <c r="B499" s="63">
        <f>+B497</f>
        <v>46080</v>
      </c>
      <c r="C499" t="s">
        <v>43</v>
      </c>
      <c r="D499" s="74" t="s">
        <v>63</v>
      </c>
      <c r="F499" s="123">
        <f>30000+59095+280093</f>
        <v>369188</v>
      </c>
      <c r="G499" s="68"/>
      <c r="H499" s="124">
        <v>330000</v>
      </c>
      <c r="J499"/>
    </row>
    <row r="500" spans="2:13" x14ac:dyDescent="0.25">
      <c r="B500" s="58">
        <f>+B499+7</f>
        <v>46087</v>
      </c>
      <c r="C500" s="59" t="s">
        <v>43</v>
      </c>
      <c r="D500" s="93" t="s">
        <v>44</v>
      </c>
      <c r="E500" s="59"/>
      <c r="F500" s="113">
        <f>200000+145000+14016</f>
        <v>359016</v>
      </c>
      <c r="G500" s="59"/>
      <c r="H500" s="122">
        <f>+H493</f>
        <v>345000</v>
      </c>
      <c r="J500"/>
    </row>
    <row r="501" spans="2:13" x14ac:dyDescent="0.25">
      <c r="B501" s="63">
        <f t="shared" ref="B501:B507" si="55">+B500</f>
        <v>46087</v>
      </c>
      <c r="C501" t="s">
        <v>43</v>
      </c>
      <c r="D501" s="36" t="s">
        <v>57</v>
      </c>
      <c r="F501" s="116">
        <v>280000</v>
      </c>
      <c r="H501" s="55">
        <v>280000</v>
      </c>
      <c r="J501"/>
    </row>
    <row r="502" spans="2:13" x14ac:dyDescent="0.25">
      <c r="B502" s="63">
        <f t="shared" si="55"/>
        <v>46087</v>
      </c>
      <c r="C502" t="s">
        <v>43</v>
      </c>
      <c r="D502" s="36" t="s">
        <v>45</v>
      </c>
      <c r="F502" s="116">
        <f>115000+104000</f>
        <v>219000</v>
      </c>
      <c r="H502" s="123">
        <v>219000</v>
      </c>
      <c r="J502"/>
    </row>
    <row r="503" spans="2:13" x14ac:dyDescent="0.25">
      <c r="B503" s="63">
        <f t="shared" si="55"/>
        <v>46087</v>
      </c>
      <c r="C503" t="s">
        <v>43</v>
      </c>
      <c r="D503" s="36" t="s">
        <v>51</v>
      </c>
      <c r="F503" s="116">
        <f>60000-N482+207209+85000+50000</f>
        <v>402209</v>
      </c>
      <c r="H503" s="123">
        <f>650000/2</f>
        <v>325000</v>
      </c>
      <c r="J503"/>
    </row>
    <row r="504" spans="2:13" x14ac:dyDescent="0.25">
      <c r="B504" s="63">
        <f t="shared" si="55"/>
        <v>46087</v>
      </c>
      <c r="C504" t="s">
        <v>43</v>
      </c>
      <c r="D504" s="36" t="s">
        <v>63</v>
      </c>
      <c r="F504" s="116">
        <f>330000+13406</f>
        <v>343406</v>
      </c>
      <c r="H504" s="57">
        <v>330000</v>
      </c>
      <c r="J504"/>
    </row>
    <row r="505" spans="2:13" x14ac:dyDescent="0.25">
      <c r="B505" s="63">
        <f t="shared" si="55"/>
        <v>46087</v>
      </c>
      <c r="C505" t="s">
        <v>43</v>
      </c>
      <c r="D505" s="36" t="s">
        <v>69</v>
      </c>
      <c r="F505" s="123">
        <f>207209+230000-30000-115000+2791+16225</f>
        <v>311225</v>
      </c>
      <c r="H505" s="123">
        <v>295000</v>
      </c>
      <c r="J505"/>
      <c r="L505" s="55"/>
    </row>
    <row r="506" spans="2:13" x14ac:dyDescent="0.25">
      <c r="B506" s="63">
        <f t="shared" si="55"/>
        <v>46087</v>
      </c>
      <c r="C506" t="s">
        <v>43</v>
      </c>
      <c r="D506" s="36" t="s">
        <v>85</v>
      </c>
      <c r="F506" s="116">
        <f>90000+90000</f>
        <v>180000</v>
      </c>
      <c r="H506" s="123">
        <v>180000</v>
      </c>
      <c r="J506"/>
    </row>
    <row r="507" spans="2:13" x14ac:dyDescent="0.25">
      <c r="B507" s="63">
        <f t="shared" si="55"/>
        <v>46087</v>
      </c>
      <c r="C507" t="s">
        <v>43</v>
      </c>
      <c r="D507" s="36" t="s">
        <v>99</v>
      </c>
      <c r="F507" s="116">
        <f>80000+120000</f>
        <v>200000</v>
      </c>
      <c r="H507" s="123">
        <f>40000*5</f>
        <v>200000</v>
      </c>
      <c r="J507"/>
      <c r="L507" s="55"/>
    </row>
    <row r="508" spans="2:13" ht="15.75" thickBot="1" x14ac:dyDescent="0.3">
      <c r="B508" s="63">
        <f>+B505</f>
        <v>46087</v>
      </c>
      <c r="C508" t="s">
        <v>43</v>
      </c>
      <c r="D508" s="36" t="s">
        <v>68</v>
      </c>
      <c r="F508" s="116">
        <f>191000+500000+59000</f>
        <v>750000</v>
      </c>
      <c r="G508" s="68"/>
      <c r="H508" s="123">
        <v>750000</v>
      </c>
      <c r="J508"/>
    </row>
    <row r="509" spans="2:13" x14ac:dyDescent="0.25">
      <c r="B509" s="58">
        <f>+B508+7</f>
        <v>46094</v>
      </c>
      <c r="C509" s="59" t="s">
        <v>43</v>
      </c>
      <c r="D509" s="72" t="s">
        <v>44</v>
      </c>
      <c r="E509" s="59"/>
      <c r="F509" s="147">
        <f>198829.61+30000+155000</f>
        <v>383829.61</v>
      </c>
      <c r="G509" s="59"/>
      <c r="H509" s="122">
        <f>+H500</f>
        <v>345000</v>
      </c>
      <c r="J509"/>
      <c r="L509" s="57"/>
    </row>
    <row r="510" spans="2:13" x14ac:dyDescent="0.25">
      <c r="B510" s="63">
        <f t="shared" ref="B510:B514" si="56">+B509</f>
        <v>46094</v>
      </c>
      <c r="C510" t="s">
        <v>43</v>
      </c>
      <c r="D510" s="74" t="s">
        <v>45</v>
      </c>
      <c r="F510" s="123">
        <f>165000+70000</f>
        <v>235000</v>
      </c>
      <c r="J510"/>
    </row>
    <row r="511" spans="2:13" x14ac:dyDescent="0.25">
      <c r="B511" s="63">
        <f t="shared" si="56"/>
        <v>46094</v>
      </c>
      <c r="C511" t="s">
        <v>43</v>
      </c>
      <c r="D511" s="74" t="s">
        <v>69</v>
      </c>
      <c r="F511" s="123">
        <f>32500+15000+250000+85000+80000-165000</f>
        <v>297500</v>
      </c>
      <c r="H511" s="123">
        <v>295000</v>
      </c>
      <c r="J511"/>
      <c r="K511" t="s">
        <v>103</v>
      </c>
      <c r="M511" s="6">
        <v>85000</v>
      </c>
    </row>
    <row r="512" spans="2:13" x14ac:dyDescent="0.25">
      <c r="B512" s="63">
        <f t="shared" si="56"/>
        <v>46094</v>
      </c>
      <c r="C512" t="s">
        <v>43</v>
      </c>
      <c r="D512" s="74" t="s">
        <v>57</v>
      </c>
      <c r="F512" s="123">
        <v>250000</v>
      </c>
      <c r="H512" s="55">
        <v>280000</v>
      </c>
      <c r="J512"/>
    </row>
    <row r="513" spans="2:14" x14ac:dyDescent="0.25">
      <c r="B513" s="63">
        <f t="shared" si="56"/>
        <v>46094</v>
      </c>
      <c r="C513" t="s">
        <v>43</v>
      </c>
      <c r="D513" s="74" t="s">
        <v>85</v>
      </c>
      <c r="F513" s="123">
        <f>90000+90000+90000</f>
        <v>270000</v>
      </c>
      <c r="H513" s="123">
        <v>270000</v>
      </c>
      <c r="J513"/>
    </row>
    <row r="514" spans="2:14" x14ac:dyDescent="0.25">
      <c r="B514" s="63">
        <f t="shared" si="56"/>
        <v>46094</v>
      </c>
      <c r="C514" t="s">
        <v>43</v>
      </c>
      <c r="D514" s="74" t="s">
        <v>68</v>
      </c>
      <c r="F514" s="123">
        <v>200000</v>
      </c>
      <c r="H514" s="123">
        <v>200000</v>
      </c>
      <c r="J514"/>
    </row>
    <row r="515" spans="2:14" x14ac:dyDescent="0.25">
      <c r="B515" s="63">
        <f>+B513</f>
        <v>46094</v>
      </c>
      <c r="C515" t="s">
        <v>43</v>
      </c>
      <c r="D515" s="74" t="s">
        <v>99</v>
      </c>
      <c r="F515" s="123">
        <v>200000</v>
      </c>
      <c r="H515" s="123">
        <f>40000*5</f>
        <v>200000</v>
      </c>
      <c r="J515"/>
    </row>
    <row r="516" spans="2:14" ht="15.75" thickBot="1" x14ac:dyDescent="0.3">
      <c r="B516" s="63">
        <f>+B513</f>
        <v>46094</v>
      </c>
      <c r="C516" t="s">
        <v>43</v>
      </c>
      <c r="D516" s="74" t="s">
        <v>63</v>
      </c>
      <c r="F516" s="123">
        <f>330000+68063+29000</f>
        <v>427063</v>
      </c>
      <c r="G516" s="68"/>
      <c r="H516" s="124">
        <v>330000</v>
      </c>
      <c r="J516"/>
      <c r="N516" s="57"/>
    </row>
    <row r="517" spans="2:14" x14ac:dyDescent="0.25">
      <c r="B517" s="58">
        <f>+B516+7</f>
        <v>46101</v>
      </c>
      <c r="C517" s="59" t="s">
        <v>43</v>
      </c>
      <c r="D517" s="93" t="s">
        <v>44</v>
      </c>
      <c r="E517" s="59"/>
      <c r="F517" s="113">
        <f>70000+301306+25875</f>
        <v>397181</v>
      </c>
      <c r="G517" s="59"/>
      <c r="H517" s="122">
        <f>+H509</f>
        <v>345000</v>
      </c>
      <c r="J517"/>
    </row>
    <row r="518" spans="2:14" x14ac:dyDescent="0.25">
      <c r="B518" s="63">
        <f t="shared" ref="B518:B524" si="57">+B517</f>
        <v>46101</v>
      </c>
      <c r="C518" t="s">
        <v>43</v>
      </c>
      <c r="D518" s="36" t="s">
        <v>57</v>
      </c>
      <c r="F518" s="116">
        <v>280000</v>
      </c>
      <c r="H518" s="55">
        <v>280000</v>
      </c>
      <c r="J518"/>
    </row>
    <row r="519" spans="2:14" x14ac:dyDescent="0.25">
      <c r="B519" s="63">
        <f t="shared" si="57"/>
        <v>46101</v>
      </c>
      <c r="C519" t="s">
        <v>43</v>
      </c>
      <c r="D519" s="36" t="s">
        <v>45</v>
      </c>
      <c r="F519" s="116">
        <f>100114+80000+60886</f>
        <v>241000</v>
      </c>
      <c r="J519"/>
    </row>
    <row r="520" spans="2:14" x14ac:dyDescent="0.25">
      <c r="B520" s="63">
        <f t="shared" si="57"/>
        <v>46101</v>
      </c>
      <c r="C520" t="s">
        <v>43</v>
      </c>
      <c r="D520" s="36" t="s">
        <v>51</v>
      </c>
      <c r="F520" s="116">
        <f>631632+130000</f>
        <v>761632</v>
      </c>
      <c r="H520" s="123">
        <v>715000</v>
      </c>
      <c r="J520"/>
    </row>
    <row r="521" spans="2:14" x14ac:dyDescent="0.25">
      <c r="B521" s="63">
        <f t="shared" si="57"/>
        <v>46101</v>
      </c>
      <c r="C521" t="s">
        <v>43</v>
      </c>
      <c r="D521" s="36" t="s">
        <v>63</v>
      </c>
      <c r="F521" s="116">
        <f>50000+17500+75000+300000</f>
        <v>442500</v>
      </c>
      <c r="H521" s="57">
        <v>330000</v>
      </c>
      <c r="J521"/>
    </row>
    <row r="522" spans="2:14" x14ac:dyDescent="0.25">
      <c r="B522" s="63">
        <f t="shared" si="57"/>
        <v>46101</v>
      </c>
      <c r="C522" t="s">
        <v>43</v>
      </c>
      <c r="D522" s="36" t="s">
        <v>69</v>
      </c>
      <c r="F522" s="116">
        <v>300000</v>
      </c>
      <c r="H522" s="123">
        <v>295000</v>
      </c>
      <c r="J522"/>
    </row>
    <row r="523" spans="2:14" x14ac:dyDescent="0.25">
      <c r="B523" s="63">
        <f t="shared" si="57"/>
        <v>46101</v>
      </c>
      <c r="C523" t="s">
        <v>43</v>
      </c>
      <c r="D523" s="36" t="s">
        <v>85</v>
      </c>
      <c r="F523" s="116">
        <f>90000+90000+90000</f>
        <v>270000</v>
      </c>
      <c r="H523" s="123">
        <f>180000+90000</f>
        <v>270000</v>
      </c>
      <c r="J523"/>
    </row>
    <row r="524" spans="2:14" x14ac:dyDescent="0.25">
      <c r="B524" s="63">
        <f t="shared" si="57"/>
        <v>46101</v>
      </c>
      <c r="C524" t="s">
        <v>43</v>
      </c>
      <c r="D524" s="36" t="s">
        <v>99</v>
      </c>
      <c r="F524" s="116">
        <f>40000+80000+40000</f>
        <v>160000</v>
      </c>
      <c r="H524" s="123">
        <f>40000*4</f>
        <v>160000</v>
      </c>
      <c r="J524"/>
    </row>
    <row r="525" spans="2:14" ht="15.75" thickBot="1" x14ac:dyDescent="0.3">
      <c r="B525" s="63">
        <f>+B522</f>
        <v>46101</v>
      </c>
      <c r="C525" t="s">
        <v>43</v>
      </c>
      <c r="D525" s="36" t="s">
        <v>68</v>
      </c>
      <c r="F525" s="116">
        <v>550000</v>
      </c>
      <c r="G525" s="68"/>
      <c r="H525" s="123">
        <f>750000-200000</f>
        <v>550000</v>
      </c>
      <c r="K525" s="57"/>
      <c r="L525" s="57"/>
      <c r="M525" s="57"/>
    </row>
    <row r="526" spans="2:14" x14ac:dyDescent="0.25">
      <c r="B526" s="58">
        <f>+B525+7</f>
        <v>46108</v>
      </c>
      <c r="C526" s="59" t="s">
        <v>43</v>
      </c>
      <c r="D526" s="72" t="s">
        <v>44</v>
      </c>
      <c r="E526" s="59"/>
      <c r="F526" s="147">
        <f>345000+25875</f>
        <v>370875</v>
      </c>
      <c r="G526" s="59"/>
      <c r="H526" s="122">
        <f>+H517</f>
        <v>345000</v>
      </c>
      <c r="K526" s="57"/>
      <c r="L526" s="57"/>
      <c r="M526" s="57"/>
    </row>
    <row r="527" spans="2:14" x14ac:dyDescent="0.25">
      <c r="B527" s="63">
        <f t="shared" ref="B527:B531" si="58">+B526</f>
        <v>46108</v>
      </c>
      <c r="C527" t="s">
        <v>43</v>
      </c>
      <c r="D527" s="74" t="s">
        <v>45</v>
      </c>
      <c r="F527" s="123">
        <v>200000</v>
      </c>
      <c r="K527" s="57"/>
      <c r="L527" s="57"/>
      <c r="M527" s="57"/>
    </row>
    <row r="528" spans="2:14" x14ac:dyDescent="0.25">
      <c r="B528" s="63">
        <f t="shared" si="58"/>
        <v>46108</v>
      </c>
      <c r="C528" t="s">
        <v>43</v>
      </c>
      <c r="D528" s="74" t="s">
        <v>69</v>
      </c>
      <c r="F528" s="123">
        <f>266190+30000</f>
        <v>296190</v>
      </c>
      <c r="H528" s="123">
        <v>295000</v>
      </c>
      <c r="K528" s="57"/>
      <c r="L528" s="57"/>
      <c r="M528" s="57"/>
    </row>
    <row r="529" spans="2:13" x14ac:dyDescent="0.25">
      <c r="B529" s="63">
        <f t="shared" si="58"/>
        <v>46108</v>
      </c>
      <c r="C529" t="s">
        <v>43</v>
      </c>
      <c r="D529" s="74" t="s">
        <v>57</v>
      </c>
      <c r="F529" s="123">
        <v>280000</v>
      </c>
      <c r="H529" s="55">
        <v>280000</v>
      </c>
      <c r="K529" s="57"/>
      <c r="L529" s="57"/>
      <c r="M529" s="57"/>
    </row>
    <row r="530" spans="2:13" x14ac:dyDescent="0.25">
      <c r="B530" s="63">
        <f t="shared" si="58"/>
        <v>46108</v>
      </c>
      <c r="C530" t="s">
        <v>43</v>
      </c>
      <c r="D530" s="74" t="s">
        <v>85</v>
      </c>
      <c r="F530" s="123">
        <f>90000+90000+90000</f>
        <v>270000</v>
      </c>
      <c r="H530" s="123">
        <f>90000*3</f>
        <v>270000</v>
      </c>
      <c r="K530" s="57"/>
      <c r="L530" s="57"/>
      <c r="M530" s="57"/>
    </row>
    <row r="531" spans="2:13" x14ac:dyDescent="0.25">
      <c r="B531" s="63">
        <f t="shared" si="58"/>
        <v>46108</v>
      </c>
      <c r="C531" t="s">
        <v>43</v>
      </c>
      <c r="D531" s="74" t="s">
        <v>99</v>
      </c>
      <c r="F531" s="123">
        <f>80000+80000</f>
        <v>160000</v>
      </c>
      <c r="H531" s="123">
        <f>40000*4</f>
        <v>160000</v>
      </c>
      <c r="K531" s="57"/>
      <c r="L531" s="57"/>
      <c r="M531" s="57"/>
    </row>
    <row r="532" spans="2:13" ht="15.75" thickBot="1" x14ac:dyDescent="0.3">
      <c r="B532" s="63">
        <f>+B530</f>
        <v>46108</v>
      </c>
      <c r="C532" t="s">
        <v>43</v>
      </c>
      <c r="D532" s="74" t="s">
        <v>63</v>
      </c>
      <c r="F532" s="123">
        <f>330000+24750</f>
        <v>354750</v>
      </c>
      <c r="G532" s="68"/>
      <c r="H532" s="124">
        <v>330000</v>
      </c>
      <c r="K532" s="57"/>
      <c r="L532" s="57"/>
      <c r="M532" s="57"/>
    </row>
    <row r="533" spans="2:13" x14ac:dyDescent="0.25">
      <c r="B533" s="58">
        <v>46113</v>
      </c>
      <c r="C533" s="59" t="s">
        <v>43</v>
      </c>
      <c r="D533" s="93" t="s">
        <v>44</v>
      </c>
      <c r="E533" s="59"/>
      <c r="F533" s="113">
        <f>199350+185000</f>
        <v>384350</v>
      </c>
      <c r="G533" s="59"/>
      <c r="H533" s="122">
        <f>+H526</f>
        <v>345000</v>
      </c>
      <c r="I533" s="57"/>
      <c r="K533" s="57"/>
      <c r="L533" s="57"/>
      <c r="M533" s="57"/>
    </row>
    <row r="534" spans="2:13" x14ac:dyDescent="0.25">
      <c r="B534" s="63">
        <v>46113</v>
      </c>
      <c r="C534" t="s">
        <v>43</v>
      </c>
      <c r="D534" s="36" t="s">
        <v>57</v>
      </c>
      <c r="F534" s="116">
        <v>280000</v>
      </c>
      <c r="H534" s="55">
        <v>280000</v>
      </c>
      <c r="I534" s="57"/>
      <c r="K534" s="57"/>
      <c r="L534" s="57"/>
      <c r="M534" s="57"/>
    </row>
    <row r="535" spans="2:13" x14ac:dyDescent="0.25">
      <c r="B535" s="63">
        <v>46113</v>
      </c>
      <c r="C535" t="s">
        <v>43</v>
      </c>
      <c r="D535" s="36" t="s">
        <v>45</v>
      </c>
      <c r="F535" s="116">
        <f>87500+120000</f>
        <v>207500</v>
      </c>
      <c r="I535" s="145" cm="1">
        <f t="array" aca="1" ref="I535" ca="1">IFERROR(INDIRECT(tMov[[#This Row],[Detalle]]),0)</f>
        <v>204000</v>
      </c>
      <c r="J535" s="150">
        <f ca="1">+(I535+H535)-tMov[[#This Row],[Valor]]</f>
        <v>-3500</v>
      </c>
      <c r="K535" s="57"/>
      <c r="L535" s="57"/>
      <c r="M535" s="57"/>
    </row>
    <row r="536" spans="2:13" x14ac:dyDescent="0.25">
      <c r="B536" s="63">
        <v>46113</v>
      </c>
      <c r="C536" t="s">
        <v>43</v>
      </c>
      <c r="D536" s="36" t="s">
        <v>51</v>
      </c>
      <c r="F536" s="116">
        <f>700000+15000+65000</f>
        <v>780000</v>
      </c>
      <c r="H536" s="123">
        <f>+H520</f>
        <v>715000</v>
      </c>
      <c r="I536" s="57"/>
      <c r="K536" s="57"/>
    </row>
    <row r="537" spans="2:13" x14ac:dyDescent="0.25">
      <c r="B537" s="63">
        <v>46113</v>
      </c>
      <c r="C537" t="s">
        <v>43</v>
      </c>
      <c r="D537" s="36" t="s">
        <v>63</v>
      </c>
      <c r="F537" s="116">
        <f>150000+205000</f>
        <v>355000</v>
      </c>
      <c r="H537" s="57">
        <v>330000</v>
      </c>
      <c r="I537" s="57"/>
      <c r="K537" s="57"/>
    </row>
    <row r="538" spans="2:13" x14ac:dyDescent="0.25">
      <c r="B538" s="63">
        <v>46113</v>
      </c>
      <c r="C538" t="s">
        <v>43</v>
      </c>
      <c r="D538" s="36" t="s">
        <v>69</v>
      </c>
      <c r="F538" s="116">
        <f>230000+65000</f>
        <v>295000</v>
      </c>
      <c r="H538" s="123">
        <v>295000</v>
      </c>
      <c r="I538" s="57"/>
      <c r="K538" s="57"/>
      <c r="L538" s="55"/>
    </row>
    <row r="539" spans="2:13" x14ac:dyDescent="0.25">
      <c r="B539" s="63">
        <v>46113</v>
      </c>
      <c r="C539" t="s">
        <v>43</v>
      </c>
      <c r="D539" s="36" t="s">
        <v>85</v>
      </c>
      <c r="F539" s="116">
        <v>90000</v>
      </c>
      <c r="H539" s="123">
        <v>90000</v>
      </c>
      <c r="I539" s="57"/>
      <c r="K539" s="57"/>
    </row>
    <row r="540" spans="2:13" x14ac:dyDescent="0.25">
      <c r="B540" s="63">
        <v>46113</v>
      </c>
      <c r="C540" t="s">
        <v>43</v>
      </c>
      <c r="D540" s="36" t="s">
        <v>99</v>
      </c>
      <c r="F540" s="116">
        <f>40000+80000</f>
        <v>120000</v>
      </c>
      <c r="H540" s="123">
        <f>40000*3</f>
        <v>120000</v>
      </c>
      <c r="I540" s="57"/>
      <c r="K540" s="57"/>
    </row>
    <row r="541" spans="2:13" ht="15.75" thickBot="1" x14ac:dyDescent="0.3">
      <c r="B541" s="63">
        <v>46113</v>
      </c>
      <c r="C541" t="s">
        <v>43</v>
      </c>
      <c r="D541" s="36" t="s">
        <v>68</v>
      </c>
      <c r="F541" s="116">
        <f>160000+590000</f>
        <v>750000</v>
      </c>
      <c r="G541" s="68"/>
      <c r="H541" s="123">
        <v>750000</v>
      </c>
      <c r="I541" s="57"/>
    </row>
    <row r="542" spans="2:13" x14ac:dyDescent="0.25">
      <c r="B542" s="58">
        <v>46122</v>
      </c>
      <c r="C542" s="59" t="s">
        <v>43</v>
      </c>
      <c r="D542" s="72" t="s">
        <v>44</v>
      </c>
      <c r="E542" s="59"/>
      <c r="F542" s="147">
        <v>345000</v>
      </c>
      <c r="G542" s="59"/>
      <c r="H542" s="122">
        <f>+H533</f>
        <v>345000</v>
      </c>
      <c r="I542" s="57"/>
    </row>
    <row r="543" spans="2:13" x14ac:dyDescent="0.25">
      <c r="B543" s="63">
        <f t="shared" ref="B543:B547" si="59">+B542</f>
        <v>46122</v>
      </c>
      <c r="C543" t="s">
        <v>43</v>
      </c>
      <c r="D543" s="74" t="s">
        <v>45</v>
      </c>
      <c r="F543" s="123">
        <v>200000</v>
      </c>
      <c r="H543">
        <v>263000</v>
      </c>
      <c r="I543" s="57"/>
    </row>
    <row r="544" spans="2:13" x14ac:dyDescent="0.25">
      <c r="B544" s="63">
        <f t="shared" si="59"/>
        <v>46122</v>
      </c>
      <c r="C544" t="s">
        <v>43</v>
      </c>
      <c r="D544" s="74" t="s">
        <v>69</v>
      </c>
      <c r="F544" s="123">
        <f>85000+80000+130000</f>
        <v>295000</v>
      </c>
      <c r="H544" s="123">
        <v>295000</v>
      </c>
      <c r="I544" s="57"/>
      <c r="K544" s="130" t="s">
        <v>104</v>
      </c>
      <c r="L544" s="55">
        <v>85000</v>
      </c>
    </row>
    <row r="545" spans="2:11" x14ac:dyDescent="0.25">
      <c r="B545" s="63">
        <f t="shared" si="59"/>
        <v>46122</v>
      </c>
      <c r="C545" t="s">
        <v>43</v>
      </c>
      <c r="D545" s="74" t="s">
        <v>57</v>
      </c>
      <c r="F545" s="123">
        <f>71312+208688</f>
        <v>280000</v>
      </c>
      <c r="H545" s="55">
        <v>280000</v>
      </c>
      <c r="I545" s="57"/>
    </row>
    <row r="546" spans="2:11" x14ac:dyDescent="0.25">
      <c r="B546" s="63">
        <f t="shared" si="59"/>
        <v>46122</v>
      </c>
      <c r="C546" t="s">
        <v>43</v>
      </c>
      <c r="D546" s="74" t="s">
        <v>85</v>
      </c>
      <c r="F546" s="123">
        <v>90000</v>
      </c>
      <c r="H546" s="123">
        <v>90000</v>
      </c>
      <c r="I546" s="57"/>
    </row>
    <row r="547" spans="2:11" x14ac:dyDescent="0.25">
      <c r="B547" s="63">
        <f t="shared" si="59"/>
        <v>46122</v>
      </c>
      <c r="C547" t="s">
        <v>43</v>
      </c>
      <c r="D547" s="74" t="s">
        <v>99</v>
      </c>
      <c r="F547" s="123">
        <v>200000</v>
      </c>
      <c r="H547" s="123">
        <f>40000*5</f>
        <v>200000</v>
      </c>
      <c r="I547" s="57"/>
    </row>
    <row r="548" spans="2:11" ht="15.75" thickBot="1" x14ac:dyDescent="0.3">
      <c r="B548" s="63">
        <f>+B546</f>
        <v>46122</v>
      </c>
      <c r="C548" t="s">
        <v>43</v>
      </c>
      <c r="D548" s="74" t="s">
        <v>63</v>
      </c>
      <c r="F548" s="123">
        <v>330000</v>
      </c>
      <c r="G548" s="68"/>
      <c r="H548" s="124">
        <v>330000</v>
      </c>
      <c r="J548"/>
    </row>
    <row r="549" spans="2:11" x14ac:dyDescent="0.25">
      <c r="B549" s="58">
        <f>+B548+7</f>
        <v>46129</v>
      </c>
      <c r="C549" s="59" t="s">
        <v>43</v>
      </c>
      <c r="D549" s="93" t="s">
        <v>44</v>
      </c>
      <c r="E549" s="59"/>
      <c r="F549" s="113">
        <f>345000+54334</f>
        <v>399334</v>
      </c>
      <c r="G549" s="59"/>
      <c r="H549" s="122">
        <f>+H542</f>
        <v>345000</v>
      </c>
      <c r="J549"/>
    </row>
    <row r="550" spans="2:11" x14ac:dyDescent="0.25">
      <c r="B550" s="63">
        <f t="shared" ref="B550:B556" si="60">+B549</f>
        <v>46129</v>
      </c>
      <c r="C550" t="s">
        <v>43</v>
      </c>
      <c r="D550" s="36" t="s">
        <v>57</v>
      </c>
      <c r="F550" s="116">
        <v>280000</v>
      </c>
      <c r="H550" s="55">
        <v>280000</v>
      </c>
      <c r="J550"/>
    </row>
    <row r="551" spans="2:11" x14ac:dyDescent="0.25">
      <c r="B551" s="63">
        <f t="shared" si="60"/>
        <v>46129</v>
      </c>
      <c r="C551" t="s">
        <v>43</v>
      </c>
      <c r="D551" s="36" t="s">
        <v>45</v>
      </c>
      <c r="F551" s="116">
        <f>109912+150000</f>
        <v>259912</v>
      </c>
      <c r="J551"/>
    </row>
    <row r="552" spans="2:11" x14ac:dyDescent="0.25">
      <c r="B552" s="63">
        <f t="shared" si="60"/>
        <v>46129</v>
      </c>
      <c r="C552" t="s">
        <v>43</v>
      </c>
      <c r="D552" s="36" t="s">
        <v>51</v>
      </c>
      <c r="F552" s="116">
        <f>819912-104912</f>
        <v>715000</v>
      </c>
      <c r="H552" s="123">
        <f>+H536</f>
        <v>715000</v>
      </c>
      <c r="J552"/>
    </row>
    <row r="553" spans="2:11" x14ac:dyDescent="0.25">
      <c r="B553" s="63">
        <f t="shared" si="60"/>
        <v>46129</v>
      </c>
      <c r="C553" t="s">
        <v>43</v>
      </c>
      <c r="D553" s="36" t="s">
        <v>63</v>
      </c>
      <c r="F553" s="116">
        <f>330000+59219</f>
        <v>389219</v>
      </c>
      <c r="H553" s="57">
        <v>330000</v>
      </c>
      <c r="J553"/>
    </row>
    <row r="554" spans="2:11" x14ac:dyDescent="0.25">
      <c r="B554" s="63">
        <f t="shared" si="60"/>
        <v>46129</v>
      </c>
      <c r="C554" t="s">
        <v>43</v>
      </c>
      <c r="D554" s="36" t="s">
        <v>69</v>
      </c>
      <c r="F554" s="116">
        <v>295000</v>
      </c>
      <c r="H554" s="123">
        <v>295000</v>
      </c>
      <c r="J554"/>
    </row>
    <row r="555" spans="2:11" x14ac:dyDescent="0.25">
      <c r="B555" s="63">
        <f t="shared" si="60"/>
        <v>46129</v>
      </c>
      <c r="C555" t="s">
        <v>43</v>
      </c>
      <c r="D555" s="36" t="s">
        <v>85</v>
      </c>
      <c r="F555" s="116">
        <v>180000</v>
      </c>
      <c r="H555" s="123">
        <v>180000</v>
      </c>
      <c r="J555"/>
    </row>
    <row r="556" spans="2:11" x14ac:dyDescent="0.25">
      <c r="B556" s="63">
        <f t="shared" si="60"/>
        <v>46129</v>
      </c>
      <c r="C556" t="s">
        <v>43</v>
      </c>
      <c r="D556" s="36" t="s">
        <v>99</v>
      </c>
      <c r="F556" s="116">
        <f>40000+160000</f>
        <v>200000</v>
      </c>
      <c r="H556" s="123">
        <f>40000*5</f>
        <v>200000</v>
      </c>
      <c r="J556"/>
    </row>
    <row r="557" spans="2:11" ht="15.75" thickBot="1" x14ac:dyDescent="0.3">
      <c r="B557" s="63">
        <f>+B554</f>
        <v>46129</v>
      </c>
      <c r="C557" t="s">
        <v>43</v>
      </c>
      <c r="D557" s="36" t="s">
        <v>68</v>
      </c>
      <c r="F557" s="116">
        <f>500000+150000+100000</f>
        <v>750000</v>
      </c>
      <c r="G557" s="68"/>
      <c r="H557" s="123">
        <v>750000</v>
      </c>
      <c r="J557" s="55"/>
    </row>
    <row r="558" spans="2:11" x14ac:dyDescent="0.25">
      <c r="B558" s="58">
        <f>+B557+7</f>
        <v>46136</v>
      </c>
      <c r="C558" s="59" t="s">
        <v>43</v>
      </c>
      <c r="D558" s="72" t="s">
        <v>44</v>
      </c>
      <c r="E558" s="59"/>
      <c r="F558" s="147">
        <f>345000+137000</f>
        <v>482000</v>
      </c>
      <c r="G558" s="59"/>
      <c r="H558" s="122">
        <f>+H549</f>
        <v>345000</v>
      </c>
      <c r="I558" s="55"/>
      <c r="J558" s="55"/>
    </row>
    <row r="559" spans="2:11" x14ac:dyDescent="0.25">
      <c r="B559" s="63">
        <f t="shared" ref="B559" si="61">+B558</f>
        <v>46136</v>
      </c>
      <c r="C559" t="s">
        <v>43</v>
      </c>
      <c r="D559" s="74" t="s">
        <v>45</v>
      </c>
      <c r="F559" s="123">
        <v>188000</v>
      </c>
      <c r="I559" s="55"/>
      <c r="J559" s="55"/>
    </row>
    <row r="560" spans="2:11" x14ac:dyDescent="0.25">
      <c r="B560" s="63">
        <v>46136</v>
      </c>
      <c r="C560" t="s">
        <v>43</v>
      </c>
      <c r="D560" s="74" t="s">
        <v>69</v>
      </c>
      <c r="F560" s="123">
        <f>200000+95000</f>
        <v>295000</v>
      </c>
      <c r="H560" s="123">
        <v>295000</v>
      </c>
      <c r="I560" s="55"/>
      <c r="J560" s="55"/>
      <c r="K560" s="55"/>
    </row>
    <row r="561" spans="2:14" x14ac:dyDescent="0.25">
      <c r="B561" s="63">
        <v>46136</v>
      </c>
      <c r="C561" t="s">
        <v>43</v>
      </c>
      <c r="D561" s="74" t="s">
        <v>57</v>
      </c>
      <c r="F561" s="123">
        <v>280000</v>
      </c>
      <c r="H561" s="55">
        <v>280000</v>
      </c>
      <c r="I561" s="55"/>
      <c r="J561" s="55"/>
      <c r="K561" s="55"/>
    </row>
    <row r="562" spans="2:14" x14ac:dyDescent="0.25">
      <c r="B562" s="63">
        <v>46136</v>
      </c>
      <c r="C562" t="s">
        <v>43</v>
      </c>
      <c r="D562" s="74" t="s">
        <v>85</v>
      </c>
      <c r="F562" s="123">
        <f>90000+90000+90000</f>
        <v>270000</v>
      </c>
      <c r="H562" s="123">
        <v>270000</v>
      </c>
      <c r="I562" s="55"/>
      <c r="J562"/>
      <c r="K562" s="55"/>
    </row>
    <row r="563" spans="2:14" x14ac:dyDescent="0.25">
      <c r="B563" s="63">
        <v>46136</v>
      </c>
      <c r="C563" t="s">
        <v>43</v>
      </c>
      <c r="D563" s="74" t="s">
        <v>99</v>
      </c>
      <c r="F563" s="123">
        <f>80000+120000</f>
        <v>200000</v>
      </c>
      <c r="H563" s="123">
        <f>40000*5</f>
        <v>200000</v>
      </c>
      <c r="I563" s="145"/>
      <c r="J563"/>
      <c r="K563" s="6"/>
    </row>
    <row r="564" spans="2:14" ht="15.75" thickBot="1" x14ac:dyDescent="0.3">
      <c r="B564" s="63">
        <v>46136</v>
      </c>
      <c r="C564" t="s">
        <v>43</v>
      </c>
      <c r="D564" s="74" t="s">
        <v>63</v>
      </c>
      <c r="F564" s="123">
        <f>330000+127000</f>
        <v>457000</v>
      </c>
      <c r="G564" s="68"/>
      <c r="H564" s="124">
        <v>330000</v>
      </c>
      <c r="I564" s="6"/>
      <c r="J564"/>
      <c r="K564" s="6"/>
    </row>
    <row r="565" spans="2:14" x14ac:dyDescent="0.25">
      <c r="B565" s="58">
        <v>46143</v>
      </c>
      <c r="C565" s="59" t="s">
        <v>43</v>
      </c>
      <c r="D565" s="93" t="s">
        <v>44</v>
      </c>
      <c r="E565" s="59"/>
      <c r="F565" s="113">
        <f>145133+200000</f>
        <v>345133</v>
      </c>
      <c r="G565" s="59"/>
      <c r="H565" s="122">
        <f>+H558</f>
        <v>345000</v>
      </c>
      <c r="I565" s="145"/>
      <c r="J565"/>
    </row>
    <row r="566" spans="2:14" x14ac:dyDescent="0.25">
      <c r="B566" s="63">
        <f t="shared" ref="B566:B572" si="62">+B565</f>
        <v>46143</v>
      </c>
      <c r="C566" t="s">
        <v>43</v>
      </c>
      <c r="D566" s="36" t="s">
        <v>57</v>
      </c>
      <c r="F566" s="116">
        <v>280000</v>
      </c>
      <c r="H566" s="55">
        <v>280000</v>
      </c>
      <c r="I566" s="145"/>
      <c r="J566"/>
    </row>
    <row r="567" spans="2:14" x14ac:dyDescent="0.25">
      <c r="B567" s="63">
        <f t="shared" si="62"/>
        <v>46143</v>
      </c>
      <c r="C567" t="s">
        <v>43</v>
      </c>
      <c r="D567" s="36" t="s">
        <v>45</v>
      </c>
      <c r="F567" s="116">
        <v>204000</v>
      </c>
      <c r="I567" s="145"/>
      <c r="J567">
        <v>1</v>
      </c>
    </row>
    <row r="568" spans="2:14" x14ac:dyDescent="0.25">
      <c r="B568" s="63">
        <f t="shared" si="62"/>
        <v>46143</v>
      </c>
      <c r="C568" t="s">
        <v>43</v>
      </c>
      <c r="D568" s="36" t="s">
        <v>51</v>
      </c>
      <c r="F568" s="116">
        <f>431558+338442+51000</f>
        <v>821000</v>
      </c>
      <c r="H568" s="123">
        <v>770000.4</v>
      </c>
      <c r="J568"/>
    </row>
    <row r="569" spans="2:14" x14ac:dyDescent="0.25">
      <c r="B569" s="63">
        <f t="shared" si="62"/>
        <v>46143</v>
      </c>
      <c r="C569" t="s">
        <v>43</v>
      </c>
      <c r="D569" s="36" t="s">
        <v>63</v>
      </c>
      <c r="F569" s="116">
        <v>330000</v>
      </c>
      <c r="H569" s="57">
        <v>330000</v>
      </c>
      <c r="I569" s="145"/>
      <c r="J569"/>
    </row>
    <row r="570" spans="2:14" x14ac:dyDescent="0.25">
      <c r="B570" s="63">
        <f t="shared" si="62"/>
        <v>46143</v>
      </c>
      <c r="C570" t="s">
        <v>43</v>
      </c>
      <c r="D570" s="36" t="s">
        <v>69</v>
      </c>
      <c r="F570" s="116">
        <f>85000+210000</f>
        <v>295000</v>
      </c>
      <c r="H570" s="123">
        <v>295000</v>
      </c>
      <c r="I570" s="145"/>
      <c r="J570"/>
      <c r="K570" s="130" t="s">
        <v>105</v>
      </c>
      <c r="L570" s="55">
        <v>85000</v>
      </c>
    </row>
    <row r="571" spans="2:14" x14ac:dyDescent="0.25">
      <c r="B571" s="63">
        <f t="shared" si="62"/>
        <v>46143</v>
      </c>
      <c r="C571" t="s">
        <v>43</v>
      </c>
      <c r="D571" s="36" t="s">
        <v>85</v>
      </c>
      <c r="F571" s="116">
        <f>90000+90000+90000</f>
        <v>270000</v>
      </c>
      <c r="H571" s="123">
        <f>+H562</f>
        <v>270000</v>
      </c>
      <c r="I571" s="145"/>
      <c r="J571"/>
    </row>
    <row r="572" spans="2:14" x14ac:dyDescent="0.25">
      <c r="B572" s="63">
        <f t="shared" si="62"/>
        <v>46143</v>
      </c>
      <c r="C572" t="s">
        <v>43</v>
      </c>
      <c r="D572" s="36" t="s">
        <v>99</v>
      </c>
      <c r="F572" s="116">
        <v>160000</v>
      </c>
      <c r="H572" s="123">
        <f>40000*4</f>
        <v>160000</v>
      </c>
      <c r="I572" s="145"/>
      <c r="J572"/>
      <c r="N572" t="s">
        <v>156</v>
      </c>
    </row>
    <row r="573" spans="2:14" ht="15.75" thickBot="1" x14ac:dyDescent="0.3">
      <c r="B573" s="63">
        <f>+B570</f>
        <v>46143</v>
      </c>
      <c r="C573" t="s">
        <v>43</v>
      </c>
      <c r="D573" s="36" t="s">
        <v>68</v>
      </c>
      <c r="F573" s="116">
        <f>380291+370000</f>
        <v>750291</v>
      </c>
      <c r="G573" s="68"/>
      <c r="H573" s="123">
        <v>750000</v>
      </c>
      <c r="I573" s="145"/>
      <c r="J573" s="202">
        <f ca="1">+SUM(J574:J580)</f>
        <v>1834000</v>
      </c>
    </row>
    <row r="574" spans="2:14" x14ac:dyDescent="0.25">
      <c r="B574" s="58">
        <f>+B573+7</f>
        <v>46150</v>
      </c>
      <c r="C574" s="59" t="s">
        <v>43</v>
      </c>
      <c r="D574" s="72" t="s">
        <v>44</v>
      </c>
      <c r="E574" s="59"/>
      <c r="F574" s="147"/>
      <c r="G574" s="59"/>
      <c r="H574" s="122">
        <f>+H565</f>
        <v>345000</v>
      </c>
      <c r="I574" s="144" cm="1">
        <f t="array" aca="1" ref="I574" ca="1">IFERROR(INDIRECT(tMov[[#This Row],[Detalle]]),0)</f>
        <v>0</v>
      </c>
      <c r="J574" s="163">
        <f ca="1">+(I574+H574)-tMov[[#This Row],[Valor]]</f>
        <v>345000</v>
      </c>
    </row>
    <row r="575" spans="2:14" x14ac:dyDescent="0.25">
      <c r="B575" s="63">
        <f t="shared" ref="B575:B579" si="63">+B574</f>
        <v>46150</v>
      </c>
      <c r="C575" t="s">
        <v>43</v>
      </c>
      <c r="D575" s="74" t="s">
        <v>45</v>
      </c>
      <c r="F575" s="123"/>
      <c r="I575" s="145" cm="1">
        <f t="array" aca="1" ref="I575" ca="1">IFERROR(INDIRECT(tMov[[#This Row],[Detalle]]),0)</f>
        <v>204000</v>
      </c>
      <c r="J575" s="150">
        <f ca="1">+(I575+H575)-tMov[[#This Row],[Valor]]</f>
        <v>204000</v>
      </c>
    </row>
    <row r="576" spans="2:14" x14ac:dyDescent="0.25">
      <c r="B576" s="63">
        <f t="shared" si="63"/>
        <v>46150</v>
      </c>
      <c r="C576" t="s">
        <v>43</v>
      </c>
      <c r="D576" s="74" t="s">
        <v>69</v>
      </c>
      <c r="F576" s="123"/>
      <c r="H576" s="123">
        <v>295000</v>
      </c>
      <c r="I576" s="145" cm="1">
        <f t="array" aca="1" ref="I576" ca="1">IFERROR(INDIRECT(tMov[[#This Row],[Detalle]]),0)</f>
        <v>0</v>
      </c>
      <c r="J576" s="150">
        <f ca="1">+(I576+H576)-tMov[[#This Row],[Valor]]</f>
        <v>295000</v>
      </c>
    </row>
    <row r="577" spans="2:10" x14ac:dyDescent="0.25">
      <c r="B577" s="63">
        <f t="shared" si="63"/>
        <v>46150</v>
      </c>
      <c r="C577" t="s">
        <v>43</v>
      </c>
      <c r="D577" s="74" t="s">
        <v>57</v>
      </c>
      <c r="F577" s="123"/>
      <c r="H577" s="55">
        <v>280000</v>
      </c>
      <c r="I577" s="145" cm="1">
        <f t="array" aca="1" ref="I577" ca="1">IFERROR(INDIRECT(tMov[[#This Row],[Detalle]]),0)</f>
        <v>0</v>
      </c>
      <c r="J577" s="150">
        <f ca="1">+(I577+H577)-tMov[[#This Row],[Valor]]</f>
        <v>280000</v>
      </c>
    </row>
    <row r="578" spans="2:10" x14ac:dyDescent="0.25">
      <c r="B578" s="63">
        <f t="shared" si="63"/>
        <v>46150</v>
      </c>
      <c r="C578" t="s">
        <v>43</v>
      </c>
      <c r="D578" s="74" t="s">
        <v>85</v>
      </c>
      <c r="F578" s="123">
        <v>90000</v>
      </c>
      <c r="H578" s="123">
        <v>270000</v>
      </c>
      <c r="I578" s="145" cm="1">
        <f t="array" aca="1" ref="I578" ca="1">IFERROR(INDIRECT(tMov[[#This Row],[Detalle]]),0)</f>
        <v>0</v>
      </c>
      <c r="J578" s="150">
        <f ca="1">+(I578+H578)-tMov[[#This Row],[Valor]]</f>
        <v>180000</v>
      </c>
    </row>
    <row r="579" spans="2:10" x14ac:dyDescent="0.25">
      <c r="B579" s="63">
        <f t="shared" si="63"/>
        <v>46150</v>
      </c>
      <c r="C579" t="s">
        <v>43</v>
      </c>
      <c r="D579" s="74" t="s">
        <v>99</v>
      </c>
      <c r="F579" s="123"/>
      <c r="H579" s="123">
        <f>40000*5</f>
        <v>200000</v>
      </c>
      <c r="I579" s="145"/>
      <c r="J579" s="150">
        <f>+(I579+H579)-tMov[[#This Row],[Valor]]</f>
        <v>200000</v>
      </c>
    </row>
    <row r="580" spans="2:10" ht="15.75" thickBot="1" x14ac:dyDescent="0.3">
      <c r="B580" s="63">
        <f>+B578</f>
        <v>46150</v>
      </c>
      <c r="C580" t="s">
        <v>43</v>
      </c>
      <c r="D580" s="74" t="s">
        <v>63</v>
      </c>
      <c r="F580" s="123"/>
      <c r="G580" s="68"/>
      <c r="H580" s="124">
        <v>330000</v>
      </c>
      <c r="I580" s="146" cm="1">
        <f t="array" aca="1" ref="I580" ca="1">IFERROR(INDIRECT(tMov[[#This Row],[Detalle]]),0)</f>
        <v>0</v>
      </c>
      <c r="J580" s="164">
        <f ca="1">+(I580+H580)-tMov[[#This Row],[Valor]]</f>
        <v>330000</v>
      </c>
    </row>
    <row r="581" spans="2:10" x14ac:dyDescent="0.25">
      <c r="B581" s="58">
        <f>+B580+7</f>
        <v>46157</v>
      </c>
      <c r="C581" s="59" t="s">
        <v>43</v>
      </c>
      <c r="D581" s="93" t="s">
        <v>44</v>
      </c>
      <c r="E581" s="59"/>
      <c r="F581" s="113"/>
      <c r="G581" s="59"/>
      <c r="H581" s="122">
        <f>+H574</f>
        <v>345000</v>
      </c>
      <c r="I581" s="144" cm="1">
        <f t="array" aca="1" ref="I581" ca="1">IFERROR(INDIRECT(tMov[[#This Row],[Detalle]]),0)</f>
        <v>0</v>
      </c>
      <c r="J581" s="163"/>
    </row>
    <row r="582" spans="2:10" x14ac:dyDescent="0.25">
      <c r="B582" s="63">
        <f t="shared" ref="B582:B588" si="64">+B581</f>
        <v>46157</v>
      </c>
      <c r="C582" t="s">
        <v>43</v>
      </c>
      <c r="D582" s="36" t="s">
        <v>57</v>
      </c>
      <c r="F582" s="116"/>
      <c r="H582" s="55">
        <v>280000</v>
      </c>
      <c r="I582" s="145" cm="1">
        <f t="array" aca="1" ref="I582" ca="1">IFERROR(INDIRECT(tMov[[#This Row],[Detalle]]),0)</f>
        <v>0</v>
      </c>
      <c r="J582" s="150"/>
    </row>
    <row r="583" spans="2:10" x14ac:dyDescent="0.25">
      <c r="B583" s="63">
        <f t="shared" si="64"/>
        <v>46157</v>
      </c>
      <c r="C583" t="s">
        <v>43</v>
      </c>
      <c r="D583" s="36" t="s">
        <v>45</v>
      </c>
      <c r="F583" s="116"/>
      <c r="H583">
        <v>219000</v>
      </c>
      <c r="I583" s="145" cm="1">
        <f t="array" aca="1" ref="I583" ca="1">IFERROR(INDIRECT(tMov[[#This Row],[Detalle]]),0)</f>
        <v>204000</v>
      </c>
      <c r="J583" s="150"/>
    </row>
    <row r="584" spans="2:10" x14ac:dyDescent="0.25">
      <c r="B584" s="63">
        <f t="shared" si="64"/>
        <v>46157</v>
      </c>
      <c r="C584" t="s">
        <v>43</v>
      </c>
      <c r="D584" s="36" t="s">
        <v>51</v>
      </c>
      <c r="F584" s="116"/>
      <c r="H584" s="123">
        <f>+H568</f>
        <v>770000.4</v>
      </c>
      <c r="I584" s="145" cm="1">
        <f t="array" aca="1" ref="I584" ca="1">IFERROR(INDIRECT(tMov[[#This Row],[Detalle]]),0)</f>
        <v>0</v>
      </c>
      <c r="J584" s="150"/>
    </row>
    <row r="585" spans="2:10" x14ac:dyDescent="0.25">
      <c r="B585" s="63">
        <f t="shared" si="64"/>
        <v>46157</v>
      </c>
      <c r="C585" t="s">
        <v>43</v>
      </c>
      <c r="D585" s="36" t="s">
        <v>63</v>
      </c>
      <c r="F585" s="116"/>
      <c r="H585" s="57">
        <v>330000</v>
      </c>
      <c r="I585" s="145" cm="1">
        <f t="array" aca="1" ref="I585" ca="1">IFERROR(INDIRECT(tMov[[#This Row],[Detalle]]),0)</f>
        <v>0</v>
      </c>
      <c r="J585" s="150"/>
    </row>
    <row r="586" spans="2:10" x14ac:dyDescent="0.25">
      <c r="B586" s="63">
        <f t="shared" si="64"/>
        <v>46157</v>
      </c>
      <c r="C586" t="s">
        <v>43</v>
      </c>
      <c r="D586" s="36" t="s">
        <v>69</v>
      </c>
      <c r="F586" s="116"/>
      <c r="H586" s="123">
        <v>295000</v>
      </c>
      <c r="I586" s="145" cm="1">
        <f t="array" aca="1" ref="I586" ca="1">IFERROR(INDIRECT(tMov[[#This Row],[Detalle]]),0)</f>
        <v>0</v>
      </c>
      <c r="J586" s="150"/>
    </row>
    <row r="587" spans="2:10" x14ac:dyDescent="0.25">
      <c r="B587" s="63">
        <f t="shared" si="64"/>
        <v>46157</v>
      </c>
      <c r="C587" t="s">
        <v>43</v>
      </c>
      <c r="D587" s="36" t="s">
        <v>85</v>
      </c>
      <c r="F587" s="116"/>
      <c r="H587" s="123">
        <f>+H578</f>
        <v>270000</v>
      </c>
      <c r="I587" s="145" cm="1">
        <f t="array" aca="1" ref="I587" ca="1">IFERROR(INDIRECT(tMov[[#This Row],[Detalle]]),0)</f>
        <v>0</v>
      </c>
      <c r="J587" s="150"/>
    </row>
    <row r="588" spans="2:10" x14ac:dyDescent="0.25">
      <c r="B588" s="63">
        <f t="shared" si="64"/>
        <v>46157</v>
      </c>
      <c r="C588" t="s">
        <v>43</v>
      </c>
      <c r="D588" s="36" t="s">
        <v>99</v>
      </c>
      <c r="F588" s="116"/>
      <c r="H588" s="123">
        <f>40000*5</f>
        <v>200000</v>
      </c>
      <c r="I588" s="145"/>
      <c r="J588" s="150"/>
    </row>
    <row r="589" spans="2:10" ht="15.75" thickBot="1" x14ac:dyDescent="0.3">
      <c r="B589" s="63">
        <f>+B586</f>
        <v>46157</v>
      </c>
      <c r="C589" t="s">
        <v>43</v>
      </c>
      <c r="D589" s="36" t="s">
        <v>68</v>
      </c>
      <c r="F589" s="116"/>
      <c r="G589" s="68"/>
      <c r="H589" s="123">
        <v>750000</v>
      </c>
      <c r="I589" s="146" cm="1">
        <f t="array" aca="1" ref="I589" ca="1">IFERROR(INDIRECT(tMov[[#This Row],[Detalle]]),0)</f>
        <v>0</v>
      </c>
      <c r="J589" s="164"/>
    </row>
    <row r="590" spans="2:10" x14ac:dyDescent="0.25">
      <c r="B590" s="58">
        <f>+B589+7</f>
        <v>46164</v>
      </c>
      <c r="C590" s="59" t="s">
        <v>43</v>
      </c>
      <c r="D590" s="72" t="s">
        <v>44</v>
      </c>
      <c r="E590" s="59"/>
      <c r="F590" s="147"/>
      <c r="G590" s="59"/>
      <c r="H590" s="122">
        <f>+H581</f>
        <v>345000</v>
      </c>
      <c r="I590" s="144" cm="1">
        <f t="array" aca="1" ref="I590" ca="1">IFERROR(INDIRECT(tMov[[#This Row],[Detalle]]),0)</f>
        <v>0</v>
      </c>
      <c r="J590" s="163"/>
    </row>
    <row r="591" spans="2:10" x14ac:dyDescent="0.25">
      <c r="B591" s="63">
        <f t="shared" ref="B591:B595" si="65">+B590</f>
        <v>46164</v>
      </c>
      <c r="C591" t="s">
        <v>43</v>
      </c>
      <c r="D591" s="74" t="s">
        <v>45</v>
      </c>
      <c r="F591" s="123"/>
      <c r="I591" s="145" cm="1">
        <f t="array" aca="1" ref="I591" ca="1">IFERROR(INDIRECT(tMov[[#This Row],[Detalle]]),0)</f>
        <v>204000</v>
      </c>
      <c r="J591" s="150"/>
    </row>
    <row r="592" spans="2:10" x14ac:dyDescent="0.25">
      <c r="B592" s="63">
        <f t="shared" si="65"/>
        <v>46164</v>
      </c>
      <c r="C592" t="s">
        <v>43</v>
      </c>
      <c r="D592" s="74" t="s">
        <v>69</v>
      </c>
      <c r="F592" s="123"/>
      <c r="H592" s="123">
        <v>295000</v>
      </c>
      <c r="I592" s="145" cm="1">
        <f t="array" aca="1" ref="I592" ca="1">IFERROR(INDIRECT(tMov[[#This Row],[Detalle]]),0)</f>
        <v>0</v>
      </c>
      <c r="J592" s="150"/>
    </row>
    <row r="593" spans="2:12" x14ac:dyDescent="0.25">
      <c r="B593" s="63">
        <f t="shared" si="65"/>
        <v>46164</v>
      </c>
      <c r="C593" t="s">
        <v>43</v>
      </c>
      <c r="D593" s="74" t="s">
        <v>57</v>
      </c>
      <c r="F593" s="123"/>
      <c r="H593" s="55">
        <v>280000</v>
      </c>
      <c r="I593" s="145" cm="1">
        <f t="array" aca="1" ref="I593" ca="1">IFERROR(INDIRECT(tMov[[#This Row],[Detalle]]),0)</f>
        <v>0</v>
      </c>
      <c r="J593" s="150"/>
    </row>
    <row r="594" spans="2:12" x14ac:dyDescent="0.25">
      <c r="B594" s="63">
        <f t="shared" si="65"/>
        <v>46164</v>
      </c>
      <c r="C594" t="s">
        <v>43</v>
      </c>
      <c r="D594" s="74" t="s">
        <v>85</v>
      </c>
      <c r="F594" s="123"/>
      <c r="H594" s="123">
        <v>270000</v>
      </c>
      <c r="I594" s="145" cm="1">
        <f t="array" aca="1" ref="I594" ca="1">IFERROR(INDIRECT(tMov[[#This Row],[Detalle]]),0)</f>
        <v>0</v>
      </c>
      <c r="J594" s="150"/>
    </row>
    <row r="595" spans="2:12" x14ac:dyDescent="0.25">
      <c r="B595" s="63">
        <f t="shared" si="65"/>
        <v>46164</v>
      </c>
      <c r="C595" t="s">
        <v>43</v>
      </c>
      <c r="D595" s="74" t="s">
        <v>99</v>
      </c>
      <c r="F595" s="123"/>
      <c r="H595" s="123">
        <f>40000*5</f>
        <v>200000</v>
      </c>
      <c r="I595" s="145"/>
      <c r="J595" s="150"/>
    </row>
    <row r="596" spans="2:12" ht="15.75" thickBot="1" x14ac:dyDescent="0.3">
      <c r="B596" s="63">
        <f>+B594</f>
        <v>46164</v>
      </c>
      <c r="C596" t="s">
        <v>43</v>
      </c>
      <c r="D596" s="74" t="s">
        <v>63</v>
      </c>
      <c r="F596" s="123"/>
      <c r="G596" s="68"/>
      <c r="H596" s="124">
        <v>330000</v>
      </c>
      <c r="I596" s="146" cm="1">
        <f t="array" aca="1" ref="I596" ca="1">IFERROR(INDIRECT(tMov[[#This Row],[Detalle]]),0)</f>
        <v>0</v>
      </c>
      <c r="J596" s="164"/>
    </row>
    <row r="597" spans="2:12" x14ac:dyDescent="0.25">
      <c r="B597" s="58">
        <f>+B596+7</f>
        <v>46171</v>
      </c>
      <c r="C597" s="59" t="s">
        <v>43</v>
      </c>
      <c r="D597" s="93" t="s">
        <v>44</v>
      </c>
      <c r="E597" s="59"/>
      <c r="F597" s="113"/>
      <c r="G597" s="59"/>
      <c r="H597" s="122">
        <f>+H590</f>
        <v>345000</v>
      </c>
      <c r="I597" s="144" cm="1">
        <f t="array" aca="1" ref="I597" ca="1">IFERROR(INDIRECT(tMov[[#This Row],[Detalle]]),0)</f>
        <v>0</v>
      </c>
      <c r="J597" s="163"/>
    </row>
    <row r="598" spans="2:12" x14ac:dyDescent="0.25">
      <c r="B598" s="63">
        <f t="shared" ref="B598:B604" si="66">+B597</f>
        <v>46171</v>
      </c>
      <c r="C598" t="s">
        <v>43</v>
      </c>
      <c r="D598" s="36" t="s">
        <v>57</v>
      </c>
      <c r="F598" s="116"/>
      <c r="H598" s="55">
        <v>280000</v>
      </c>
      <c r="I598" s="145" cm="1">
        <f t="array" aca="1" ref="I598" ca="1">IFERROR(INDIRECT(tMov[[#This Row],[Detalle]]),0)</f>
        <v>0</v>
      </c>
      <c r="J598" s="150"/>
    </row>
    <row r="599" spans="2:12" x14ac:dyDescent="0.25">
      <c r="B599" s="63">
        <f t="shared" si="66"/>
        <v>46171</v>
      </c>
      <c r="C599" t="s">
        <v>43</v>
      </c>
      <c r="D599" s="36" t="s">
        <v>45</v>
      </c>
      <c r="F599" s="116"/>
      <c r="H599">
        <v>219000</v>
      </c>
      <c r="I599" s="145" cm="1">
        <f t="array" aca="1" ref="I599" ca="1">IFERROR(INDIRECT(tMov[[#This Row],[Detalle]]),0)</f>
        <v>204000</v>
      </c>
      <c r="J599" s="150"/>
    </row>
    <row r="600" spans="2:12" x14ac:dyDescent="0.25">
      <c r="B600" s="63">
        <f t="shared" si="66"/>
        <v>46171</v>
      </c>
      <c r="C600" t="s">
        <v>43</v>
      </c>
      <c r="D600" s="36" t="s">
        <v>51</v>
      </c>
      <c r="F600" s="116"/>
      <c r="H600" s="123">
        <f>+H584</f>
        <v>770000.4</v>
      </c>
      <c r="I600" s="145" cm="1">
        <f t="array" aca="1" ref="I600" ca="1">IFERROR(INDIRECT(tMov[[#This Row],[Detalle]]),0)</f>
        <v>0</v>
      </c>
      <c r="J600" s="150"/>
    </row>
    <row r="601" spans="2:12" x14ac:dyDescent="0.25">
      <c r="B601" s="63">
        <f t="shared" si="66"/>
        <v>46171</v>
      </c>
      <c r="C601" t="s">
        <v>43</v>
      </c>
      <c r="D601" s="36" t="s">
        <v>63</v>
      </c>
      <c r="F601" s="116"/>
      <c r="H601" s="57">
        <v>330000</v>
      </c>
      <c r="I601" s="145" cm="1">
        <f t="array" aca="1" ref="I601" ca="1">IFERROR(INDIRECT(tMov[[#This Row],[Detalle]]),0)</f>
        <v>0</v>
      </c>
      <c r="J601" s="150"/>
    </row>
    <row r="602" spans="2:12" x14ac:dyDescent="0.25">
      <c r="B602" s="63">
        <f t="shared" si="66"/>
        <v>46171</v>
      </c>
      <c r="C602" t="s">
        <v>43</v>
      </c>
      <c r="D602" s="36" t="s">
        <v>69</v>
      </c>
      <c r="F602" s="116"/>
      <c r="H602" s="123">
        <v>295000</v>
      </c>
      <c r="I602" s="145" cm="1">
        <f t="array" aca="1" ref="I602" ca="1">IFERROR(INDIRECT(tMov[[#This Row],[Detalle]]),0)</f>
        <v>0</v>
      </c>
      <c r="J602" s="150"/>
    </row>
    <row r="603" spans="2:12" x14ac:dyDescent="0.25">
      <c r="B603" s="63">
        <f t="shared" si="66"/>
        <v>46171</v>
      </c>
      <c r="C603" t="s">
        <v>43</v>
      </c>
      <c r="D603" s="36" t="s">
        <v>85</v>
      </c>
      <c r="F603" s="116"/>
      <c r="H603" s="123">
        <f>+H594</f>
        <v>270000</v>
      </c>
      <c r="I603" s="145" cm="1">
        <f t="array" aca="1" ref="I603" ca="1">IFERROR(INDIRECT(tMov[[#This Row],[Detalle]]),0)</f>
        <v>0</v>
      </c>
      <c r="J603" s="150"/>
    </row>
    <row r="604" spans="2:12" x14ac:dyDescent="0.25">
      <c r="B604" s="63">
        <f t="shared" si="66"/>
        <v>46171</v>
      </c>
      <c r="C604" t="s">
        <v>43</v>
      </c>
      <c r="D604" s="36" t="s">
        <v>99</v>
      </c>
      <c r="F604" s="116"/>
      <c r="H604" s="123">
        <f>40000*5</f>
        <v>200000</v>
      </c>
      <c r="I604" s="145"/>
      <c r="J604" s="150"/>
    </row>
    <row r="605" spans="2:12" ht="15.75" thickBot="1" x14ac:dyDescent="0.3">
      <c r="B605" s="63">
        <f>+B602</f>
        <v>46171</v>
      </c>
      <c r="C605" t="s">
        <v>43</v>
      </c>
      <c r="D605" s="36" t="s">
        <v>68</v>
      </c>
      <c r="F605" s="116"/>
      <c r="G605" s="68"/>
      <c r="H605" s="123">
        <v>750000</v>
      </c>
      <c r="I605" s="146" cm="1">
        <f t="array" aca="1" ref="I605" ca="1">IFERROR(INDIRECT(tMov[[#This Row],[Detalle]]),0)</f>
        <v>0</v>
      </c>
      <c r="J605" s="164"/>
    </row>
    <row r="606" spans="2:12" x14ac:dyDescent="0.25">
      <c r="B606" s="58">
        <f>+B605+7</f>
        <v>46178</v>
      </c>
      <c r="C606" s="59" t="s">
        <v>43</v>
      </c>
      <c r="D606" s="72" t="s">
        <v>44</v>
      </c>
      <c r="E606" s="59"/>
      <c r="F606" s="147"/>
      <c r="G606" s="59"/>
      <c r="H606" s="122">
        <f>+H597</f>
        <v>345000</v>
      </c>
      <c r="I606" s="144" cm="1">
        <f t="array" aca="1" ref="I606" ca="1">IFERROR(INDIRECT(tMov[[#This Row],[Detalle]]),0)</f>
        <v>0</v>
      </c>
      <c r="J606" s="163"/>
    </row>
    <row r="607" spans="2:12" x14ac:dyDescent="0.25">
      <c r="B607" s="63">
        <f t="shared" ref="B607:B611" si="67">+B606</f>
        <v>46178</v>
      </c>
      <c r="C607" t="s">
        <v>43</v>
      </c>
      <c r="D607" s="74" t="s">
        <v>45</v>
      </c>
      <c r="F607" s="123"/>
      <c r="I607" s="145" cm="1">
        <f t="array" aca="1" ref="I607" ca="1">IFERROR(INDIRECT(tMov[[#This Row],[Detalle]]),0)</f>
        <v>204000</v>
      </c>
      <c r="J607" s="150"/>
    </row>
    <row r="608" spans="2:12" x14ac:dyDescent="0.25">
      <c r="B608" s="63">
        <f t="shared" si="67"/>
        <v>46178</v>
      </c>
      <c r="C608" t="s">
        <v>43</v>
      </c>
      <c r="D608" s="74" t="s">
        <v>69</v>
      </c>
      <c r="F608" s="123"/>
      <c r="H608" s="123">
        <v>295000</v>
      </c>
      <c r="I608" s="145" cm="1">
        <f t="array" aca="1" ref="I608" ca="1">IFERROR(INDIRECT(tMov[[#This Row],[Detalle]]),0)</f>
        <v>0</v>
      </c>
      <c r="J608" s="150"/>
      <c r="K608" s="130" t="s">
        <v>106</v>
      </c>
      <c r="L608" s="55">
        <v>85000</v>
      </c>
    </row>
    <row r="609" spans="2:10" x14ac:dyDescent="0.25">
      <c r="B609" s="63">
        <f t="shared" si="67"/>
        <v>46178</v>
      </c>
      <c r="C609" t="s">
        <v>43</v>
      </c>
      <c r="D609" s="74" t="s">
        <v>57</v>
      </c>
      <c r="F609" s="123"/>
      <c r="H609" s="55">
        <v>280000</v>
      </c>
      <c r="I609" s="145" cm="1">
        <f t="array" aca="1" ref="I609" ca="1">IFERROR(INDIRECT(tMov[[#This Row],[Detalle]]),0)</f>
        <v>0</v>
      </c>
      <c r="J609" s="150"/>
    </row>
    <row r="610" spans="2:10" x14ac:dyDescent="0.25">
      <c r="B610" s="63">
        <f t="shared" si="67"/>
        <v>46178</v>
      </c>
      <c r="C610" t="s">
        <v>43</v>
      </c>
      <c r="D610" s="74" t="s">
        <v>85</v>
      </c>
      <c r="F610" s="123"/>
      <c r="H610" s="123">
        <v>270000</v>
      </c>
      <c r="I610" s="145" cm="1">
        <f t="array" aca="1" ref="I610" ca="1">IFERROR(INDIRECT(tMov[[#This Row],[Detalle]]),0)</f>
        <v>0</v>
      </c>
      <c r="J610" s="150"/>
    </row>
    <row r="611" spans="2:10" x14ac:dyDescent="0.25">
      <c r="B611" s="63">
        <f t="shared" si="67"/>
        <v>46178</v>
      </c>
      <c r="C611" t="s">
        <v>43</v>
      </c>
      <c r="D611" s="74" t="s">
        <v>99</v>
      </c>
      <c r="F611" s="123"/>
      <c r="H611" s="123">
        <f>40000*5</f>
        <v>200000</v>
      </c>
      <c r="I611" s="145"/>
      <c r="J611" s="150"/>
    </row>
    <row r="612" spans="2:10" ht="15.75" thickBot="1" x14ac:dyDescent="0.3">
      <c r="B612" s="63">
        <f>+B610</f>
        <v>46178</v>
      </c>
      <c r="C612" t="s">
        <v>43</v>
      </c>
      <c r="D612" s="74" t="s">
        <v>63</v>
      </c>
      <c r="F612" s="123"/>
      <c r="G612" s="68"/>
      <c r="H612" s="124">
        <v>330000</v>
      </c>
      <c r="I612" s="146" cm="1">
        <f t="array" aca="1" ref="I612" ca="1">IFERROR(INDIRECT(tMov[[#This Row],[Detalle]]),0)</f>
        <v>0</v>
      </c>
      <c r="J612" s="164"/>
    </row>
    <row r="613" spans="2:10" x14ac:dyDescent="0.25">
      <c r="B613" s="58">
        <f>+B612+7</f>
        <v>46185</v>
      </c>
      <c r="C613" s="59" t="s">
        <v>43</v>
      </c>
      <c r="D613" s="93" t="s">
        <v>44</v>
      </c>
      <c r="E613" s="59"/>
      <c r="F613" s="113"/>
      <c r="G613" s="59"/>
      <c r="H613" s="122">
        <f>+H606</f>
        <v>345000</v>
      </c>
      <c r="I613" s="144" cm="1">
        <f t="array" aca="1" ref="I613" ca="1">IFERROR(INDIRECT(tMov[[#This Row],[Detalle]]),0)</f>
        <v>0</v>
      </c>
      <c r="J613" s="163"/>
    </row>
    <row r="614" spans="2:10" x14ac:dyDescent="0.25">
      <c r="B614" s="63">
        <f t="shared" ref="B614:B620" si="68">+B613</f>
        <v>46185</v>
      </c>
      <c r="C614" t="s">
        <v>43</v>
      </c>
      <c r="D614" s="36" t="s">
        <v>57</v>
      </c>
      <c r="F614" s="116"/>
      <c r="H614" s="55">
        <v>280000</v>
      </c>
      <c r="I614" s="145" cm="1">
        <f t="array" aca="1" ref="I614" ca="1">IFERROR(INDIRECT(tMov[[#This Row],[Detalle]]),0)</f>
        <v>0</v>
      </c>
      <c r="J614" s="150"/>
    </row>
    <row r="615" spans="2:10" x14ac:dyDescent="0.25">
      <c r="B615" s="63">
        <f t="shared" si="68"/>
        <v>46185</v>
      </c>
      <c r="C615" t="s">
        <v>43</v>
      </c>
      <c r="D615" s="36" t="s">
        <v>45</v>
      </c>
      <c r="F615" s="116"/>
      <c r="H615">
        <v>219000</v>
      </c>
      <c r="I615" s="145" cm="1">
        <f t="array" aca="1" ref="I615" ca="1">IFERROR(INDIRECT(tMov[[#This Row],[Detalle]]),0)</f>
        <v>204000</v>
      </c>
      <c r="J615" s="150"/>
    </row>
    <row r="616" spans="2:10" x14ac:dyDescent="0.25">
      <c r="B616" s="63">
        <f t="shared" si="68"/>
        <v>46185</v>
      </c>
      <c r="C616" t="s">
        <v>43</v>
      </c>
      <c r="D616" s="36" t="s">
        <v>51</v>
      </c>
      <c r="F616" s="116"/>
      <c r="H616" s="123">
        <f>+H600</f>
        <v>770000.4</v>
      </c>
      <c r="I616" s="145" cm="1">
        <f t="array" aca="1" ref="I616" ca="1">IFERROR(INDIRECT(tMov[[#This Row],[Detalle]]),0)</f>
        <v>0</v>
      </c>
      <c r="J616" s="150"/>
    </row>
    <row r="617" spans="2:10" x14ac:dyDescent="0.25">
      <c r="B617" s="63">
        <f t="shared" si="68"/>
        <v>46185</v>
      </c>
      <c r="C617" t="s">
        <v>43</v>
      </c>
      <c r="D617" s="36" t="s">
        <v>63</v>
      </c>
      <c r="F617" s="116"/>
      <c r="H617" s="57">
        <v>330000</v>
      </c>
      <c r="I617" s="145" cm="1">
        <f t="array" aca="1" ref="I617" ca="1">IFERROR(INDIRECT(tMov[[#This Row],[Detalle]]),0)</f>
        <v>0</v>
      </c>
      <c r="J617" s="150"/>
    </row>
    <row r="618" spans="2:10" x14ac:dyDescent="0.25">
      <c r="B618" s="63">
        <f t="shared" si="68"/>
        <v>46185</v>
      </c>
      <c r="C618" t="s">
        <v>43</v>
      </c>
      <c r="D618" s="36" t="s">
        <v>69</v>
      </c>
      <c r="F618" s="116"/>
      <c r="H618" s="123">
        <v>295000</v>
      </c>
      <c r="I618" s="145" cm="1">
        <f t="array" aca="1" ref="I618" ca="1">IFERROR(INDIRECT(tMov[[#This Row],[Detalle]]),0)</f>
        <v>0</v>
      </c>
      <c r="J618" s="150"/>
    </row>
    <row r="619" spans="2:10" x14ac:dyDescent="0.25">
      <c r="B619" s="63">
        <f t="shared" si="68"/>
        <v>46185</v>
      </c>
      <c r="C619" t="s">
        <v>43</v>
      </c>
      <c r="D619" s="36" t="s">
        <v>85</v>
      </c>
      <c r="F619" s="116"/>
      <c r="H619" s="123">
        <f>+H610</f>
        <v>270000</v>
      </c>
      <c r="I619" s="145" cm="1">
        <f t="array" aca="1" ref="I619" ca="1">IFERROR(INDIRECT(tMov[[#This Row],[Detalle]]),0)</f>
        <v>0</v>
      </c>
      <c r="J619" s="150"/>
    </row>
    <row r="620" spans="2:10" x14ac:dyDescent="0.25">
      <c r="B620" s="63">
        <f t="shared" si="68"/>
        <v>46185</v>
      </c>
      <c r="C620" t="s">
        <v>43</v>
      </c>
      <c r="D620" s="36" t="s">
        <v>99</v>
      </c>
      <c r="F620" s="116"/>
      <c r="H620" s="123">
        <f>40000*5</f>
        <v>200000</v>
      </c>
      <c r="I620" s="145"/>
      <c r="J620" s="150"/>
    </row>
    <row r="621" spans="2:10" ht="15.75" thickBot="1" x14ac:dyDescent="0.3">
      <c r="B621" s="63">
        <f>+B618</f>
        <v>46185</v>
      </c>
      <c r="C621" t="s">
        <v>43</v>
      </c>
      <c r="D621" s="36" t="s">
        <v>68</v>
      </c>
      <c r="F621" s="116"/>
      <c r="G621" s="68"/>
      <c r="H621" s="123">
        <v>750000</v>
      </c>
      <c r="I621" s="146" cm="1">
        <f t="array" aca="1" ref="I621" ca="1">IFERROR(INDIRECT(tMov[[#This Row],[Detalle]]),0)</f>
        <v>0</v>
      </c>
      <c r="J621" s="164"/>
    </row>
    <row r="622" spans="2:10" x14ac:dyDescent="0.25">
      <c r="B622" s="58">
        <f>+B621+7</f>
        <v>46192</v>
      </c>
      <c r="C622" s="59" t="s">
        <v>43</v>
      </c>
      <c r="D622" s="72" t="s">
        <v>44</v>
      </c>
      <c r="E622" s="59"/>
      <c r="F622" s="147"/>
      <c r="G622" s="59"/>
      <c r="H622" s="122">
        <f>+H613</f>
        <v>345000</v>
      </c>
      <c r="I622" s="144" cm="1">
        <f t="array" aca="1" ref="I622" ca="1">IFERROR(INDIRECT(tMov[[#This Row],[Detalle]]),0)</f>
        <v>0</v>
      </c>
      <c r="J622" s="163"/>
    </row>
    <row r="623" spans="2:10" x14ac:dyDescent="0.25">
      <c r="B623" s="63">
        <f t="shared" ref="B623:B627" si="69">+B622</f>
        <v>46192</v>
      </c>
      <c r="C623" t="s">
        <v>43</v>
      </c>
      <c r="D623" s="74" t="s">
        <v>45</v>
      </c>
      <c r="F623" s="123"/>
      <c r="I623" s="145" cm="1">
        <f t="array" aca="1" ref="I623" ca="1">IFERROR(INDIRECT(tMov[[#This Row],[Detalle]]),0)</f>
        <v>204000</v>
      </c>
      <c r="J623" s="150"/>
    </row>
    <row r="624" spans="2:10" x14ac:dyDescent="0.25">
      <c r="B624" s="63">
        <f t="shared" si="69"/>
        <v>46192</v>
      </c>
      <c r="C624" t="s">
        <v>43</v>
      </c>
      <c r="D624" s="74" t="s">
        <v>69</v>
      </c>
      <c r="F624" s="123"/>
      <c r="H624" s="123">
        <v>295000</v>
      </c>
      <c r="I624" s="145" cm="1">
        <f t="array" aca="1" ref="I624" ca="1">IFERROR(INDIRECT(tMov[[#This Row],[Detalle]]),0)</f>
        <v>0</v>
      </c>
      <c r="J624" s="150"/>
    </row>
    <row r="625" spans="2:10" x14ac:dyDescent="0.25">
      <c r="B625" s="63">
        <f t="shared" si="69"/>
        <v>46192</v>
      </c>
      <c r="C625" t="s">
        <v>43</v>
      </c>
      <c r="D625" s="74" t="s">
        <v>57</v>
      </c>
      <c r="F625" s="123"/>
      <c r="H625" s="55">
        <v>280000</v>
      </c>
      <c r="I625" s="145" cm="1">
        <f t="array" aca="1" ref="I625" ca="1">IFERROR(INDIRECT(tMov[[#This Row],[Detalle]]),0)</f>
        <v>0</v>
      </c>
      <c r="J625" s="150"/>
    </row>
    <row r="626" spans="2:10" x14ac:dyDescent="0.25">
      <c r="B626" s="63">
        <f t="shared" si="69"/>
        <v>46192</v>
      </c>
      <c r="C626" t="s">
        <v>43</v>
      </c>
      <c r="D626" s="74" t="s">
        <v>85</v>
      </c>
      <c r="F626" s="123"/>
      <c r="H626" s="123">
        <v>270000</v>
      </c>
      <c r="I626" s="145" cm="1">
        <f t="array" aca="1" ref="I626" ca="1">IFERROR(INDIRECT(tMov[[#This Row],[Detalle]]),0)</f>
        <v>0</v>
      </c>
      <c r="J626" s="150"/>
    </row>
    <row r="627" spans="2:10" x14ac:dyDescent="0.25">
      <c r="B627" s="63">
        <f t="shared" si="69"/>
        <v>46192</v>
      </c>
      <c r="C627" t="s">
        <v>43</v>
      </c>
      <c r="D627" s="74" t="s">
        <v>99</v>
      </c>
      <c r="F627" s="123"/>
      <c r="H627" s="123">
        <f>40000*5</f>
        <v>200000</v>
      </c>
      <c r="I627" s="145"/>
      <c r="J627" s="150"/>
    </row>
    <row r="628" spans="2:10" ht="15.75" thickBot="1" x14ac:dyDescent="0.3">
      <c r="B628" s="63">
        <f>+B626</f>
        <v>46192</v>
      </c>
      <c r="C628" t="s">
        <v>43</v>
      </c>
      <c r="D628" s="74" t="s">
        <v>63</v>
      </c>
      <c r="F628" s="123"/>
      <c r="G628" s="68"/>
      <c r="H628" s="124">
        <v>330000</v>
      </c>
      <c r="I628" s="146" cm="1">
        <f t="array" aca="1" ref="I628" ca="1">IFERROR(INDIRECT(tMov[[#This Row],[Detalle]]),0)</f>
        <v>0</v>
      </c>
      <c r="J628" s="164"/>
    </row>
    <row r="629" spans="2:10" x14ac:dyDescent="0.25">
      <c r="B629" s="58">
        <f>+B628+7</f>
        <v>46199</v>
      </c>
      <c r="C629" s="59" t="s">
        <v>43</v>
      </c>
      <c r="D629" s="93" t="s">
        <v>44</v>
      </c>
      <c r="E629" s="59"/>
      <c r="F629" s="113"/>
      <c r="G629" s="59"/>
      <c r="H629" s="122">
        <f>+H622</f>
        <v>345000</v>
      </c>
      <c r="I629" s="144" cm="1">
        <f t="array" aca="1" ref="I629" ca="1">IFERROR(INDIRECT(tMov[[#This Row],[Detalle]]),0)</f>
        <v>0</v>
      </c>
      <c r="J629" s="163"/>
    </row>
    <row r="630" spans="2:10" x14ac:dyDescent="0.25">
      <c r="B630" s="63">
        <f t="shared" ref="B630:B636" si="70">+B629</f>
        <v>46199</v>
      </c>
      <c r="C630" t="s">
        <v>43</v>
      </c>
      <c r="D630" s="36" t="s">
        <v>57</v>
      </c>
      <c r="F630" s="116"/>
      <c r="H630" s="55">
        <v>280000</v>
      </c>
      <c r="I630" s="145" cm="1">
        <f t="array" aca="1" ref="I630" ca="1">IFERROR(INDIRECT(tMov[[#This Row],[Detalle]]),0)</f>
        <v>0</v>
      </c>
      <c r="J630" s="150"/>
    </row>
    <row r="631" spans="2:10" x14ac:dyDescent="0.25">
      <c r="B631" s="63">
        <f t="shared" si="70"/>
        <v>46199</v>
      </c>
      <c r="C631" t="s">
        <v>43</v>
      </c>
      <c r="D631" s="36" t="s">
        <v>45</v>
      </c>
      <c r="F631" s="116"/>
      <c r="H631">
        <v>219000</v>
      </c>
      <c r="I631" s="145" cm="1">
        <f t="array" aca="1" ref="I631" ca="1">IFERROR(INDIRECT(tMov[[#This Row],[Detalle]]),0)</f>
        <v>204000</v>
      </c>
      <c r="J631" s="150"/>
    </row>
    <row r="632" spans="2:10" x14ac:dyDescent="0.25">
      <c r="B632" s="63">
        <f t="shared" si="70"/>
        <v>46199</v>
      </c>
      <c r="C632" t="s">
        <v>43</v>
      </c>
      <c r="D632" s="36" t="s">
        <v>51</v>
      </c>
      <c r="F632" s="116"/>
      <c r="H632" s="123">
        <f>+H616</f>
        <v>770000.4</v>
      </c>
      <c r="I632" s="145" cm="1">
        <f t="array" aca="1" ref="I632" ca="1">IFERROR(INDIRECT(tMov[[#This Row],[Detalle]]),0)</f>
        <v>0</v>
      </c>
      <c r="J632" s="150"/>
    </row>
    <row r="633" spans="2:10" x14ac:dyDescent="0.25">
      <c r="B633" s="63">
        <f t="shared" si="70"/>
        <v>46199</v>
      </c>
      <c r="C633" t="s">
        <v>43</v>
      </c>
      <c r="D633" s="36" t="s">
        <v>63</v>
      </c>
      <c r="F633" s="116"/>
      <c r="H633" s="57">
        <v>330000</v>
      </c>
      <c r="I633" s="145" cm="1">
        <f t="array" aca="1" ref="I633" ca="1">IFERROR(INDIRECT(tMov[[#This Row],[Detalle]]),0)</f>
        <v>0</v>
      </c>
      <c r="J633" s="150"/>
    </row>
    <row r="634" spans="2:10" x14ac:dyDescent="0.25">
      <c r="B634" s="63">
        <f t="shared" si="70"/>
        <v>46199</v>
      </c>
      <c r="C634" t="s">
        <v>43</v>
      </c>
      <c r="D634" s="36" t="s">
        <v>69</v>
      </c>
      <c r="F634" s="116"/>
      <c r="H634" s="123">
        <v>295000</v>
      </c>
      <c r="I634" s="145" cm="1">
        <f t="array" aca="1" ref="I634" ca="1">IFERROR(INDIRECT(tMov[[#This Row],[Detalle]]),0)</f>
        <v>0</v>
      </c>
      <c r="J634" s="150"/>
    </row>
    <row r="635" spans="2:10" x14ac:dyDescent="0.25">
      <c r="B635" s="63">
        <f t="shared" si="70"/>
        <v>46199</v>
      </c>
      <c r="C635" t="s">
        <v>43</v>
      </c>
      <c r="D635" s="36" t="s">
        <v>85</v>
      </c>
      <c r="F635" s="116"/>
      <c r="H635" s="123">
        <f>+H626</f>
        <v>270000</v>
      </c>
      <c r="I635" s="145" cm="1">
        <f t="array" aca="1" ref="I635" ca="1">IFERROR(INDIRECT(tMov[[#This Row],[Detalle]]),0)</f>
        <v>0</v>
      </c>
      <c r="J635" s="150"/>
    </row>
    <row r="636" spans="2:10" x14ac:dyDescent="0.25">
      <c r="B636" s="63">
        <f t="shared" si="70"/>
        <v>46199</v>
      </c>
      <c r="C636" t="s">
        <v>43</v>
      </c>
      <c r="D636" s="36" t="s">
        <v>99</v>
      </c>
      <c r="F636" s="116"/>
      <c r="H636" s="123">
        <f>40000*5</f>
        <v>200000</v>
      </c>
      <c r="I636" s="145"/>
      <c r="J636" s="150"/>
    </row>
    <row r="637" spans="2:10" ht="15.75" thickBot="1" x14ac:dyDescent="0.3">
      <c r="B637" s="63">
        <f>+B634</f>
        <v>46199</v>
      </c>
      <c r="C637" t="s">
        <v>43</v>
      </c>
      <c r="D637" s="36" t="s">
        <v>68</v>
      </c>
      <c r="F637" s="116"/>
      <c r="G637" s="68"/>
      <c r="H637" s="123">
        <v>750000</v>
      </c>
      <c r="I637" s="146" cm="1">
        <f t="array" aca="1" ref="I637" ca="1">IFERROR(INDIRECT(tMov[[#This Row],[Detalle]]),0)</f>
        <v>0</v>
      </c>
      <c r="J637" s="164"/>
    </row>
  </sheetData>
  <mergeCells count="7">
    <mergeCell ref="R1:AB1"/>
    <mergeCell ref="AD3:AE3"/>
    <mergeCell ref="AF3:AG3"/>
    <mergeCell ref="AD4:AE4"/>
    <mergeCell ref="AF4:AG4"/>
    <mergeCell ref="AF2:AG2"/>
    <mergeCell ref="AD2:AE2"/>
  </mergeCells>
  <conditionalFormatting sqref="C6:C637">
    <cfRule type="expression" dxfId="3" priority="5">
      <formula>COUNTA(_nSubcategoria_tMov)=ROW(C6)-5</formula>
    </cfRule>
    <cfRule type="expression" dxfId="2" priority="6">
      <formula>_xlfn.LET(_xlpm._SubCat_Cat_tSubCat,_xlfn.XLOOKUP(C6,_nSubcategoria_tSubCat,_nCategoria_tSubCat),_xlpm._Cat_Tipo_tCat,_xlfn.XLOOKUP(_xlpm._SubCat_Cat_tSubCat,_nCategoria_tCat,_nTipo_tCat),_xlpm._Cat_Tipo_tCat)="Traslados"</formula>
    </cfRule>
    <cfRule type="expression" dxfId="1" priority="7">
      <formula>_xlfn.LET(_xlpm._SubCat_Cat_tSubCat,_xlfn.XLOOKUP(C6,_nSubcategoria_tSubCat,_nCategoria_tSubCat),_xlpm._Cat_Tipo_tCat,_xlfn.XLOOKUP(_xlpm._SubCat_Cat_tSubCat,_nCategoria_tCat,_nTipo_tCat),_xlpm._Cat_Tipo_tCat)="Gastos"</formula>
    </cfRule>
    <cfRule type="expression" dxfId="0" priority="8">
      <formula>_xlfn.LET(_xlpm._SubCat_Cat_tSubCat,_xlfn.XLOOKUP(C6,_nSubcategoria_tSubCat,_nCategoria_tSubCat),_xlpm._Cat_Tipo_tCat,_xlfn.XLOOKUP(_xlpm._SubCat_Cat_tSubCat,_nCategoria_tCat,_nTipo_tCat),_xlpm._Cat_Tipo_tCat)="Ingresos"</formula>
    </cfRule>
  </conditionalFormatting>
  <dataValidations count="3">
    <dataValidation type="list" allowBlank="1" showInputMessage="1" showErrorMessage="1" sqref="AE1:AG1" xr:uid="{982F2679-BD27-43BA-A06F-361A36486902}">
      <formula1>#REF!</formula1>
    </dataValidation>
    <dataValidation type="list" allowBlank="1" showInputMessage="1" showErrorMessage="1" sqref="C6:C637" xr:uid="{232B9DF5-D46C-4D6E-93F4-4EE86105561C}">
      <formula1>_nSubcategoria_tSubCat</formula1>
    </dataValidation>
    <dataValidation type="list" allowBlank="1" showInputMessage="1" showErrorMessage="1" sqref="E6:E637" xr:uid="{D92AB690-FE87-402E-932A-B7506B1ECB83}">
      <formula1>_nMedio_tMedAlm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081F3-0EAE-4349-A8AE-C2C8BDB7D3B1}">
  <sheetPr codeName="Hoja1"/>
  <dimension ref="A2:Q42"/>
  <sheetViews>
    <sheetView showGridLines="0" zoomScale="145" zoomScaleNormal="145" workbookViewId="0">
      <selection activeCell="F568" sqref="F568"/>
    </sheetView>
  </sheetViews>
  <sheetFormatPr baseColWidth="10" defaultColWidth="11.42578125" defaultRowHeight="15" x14ac:dyDescent="0.25"/>
  <cols>
    <col min="1" max="1" width="19.140625" bestFit="1" customWidth="1"/>
    <col min="2" max="2" width="18" bestFit="1" customWidth="1"/>
    <col min="3" max="3" width="3.5703125" customWidth="1"/>
    <col min="4" max="4" width="14.28515625" bestFit="1" customWidth="1"/>
    <col min="5" max="5" width="24.5703125" bestFit="1" customWidth="1"/>
    <col min="6" max="6" width="18.42578125" customWidth="1"/>
    <col min="7" max="7" width="12.7109375" bestFit="1" customWidth="1"/>
    <col min="8" max="8" width="14.140625" bestFit="1" customWidth="1"/>
    <col min="9" max="9" width="14.28515625" bestFit="1" customWidth="1"/>
    <col min="10" max="10" width="4.5703125" bestFit="1" customWidth="1"/>
    <col min="11" max="11" width="12.85546875" bestFit="1" customWidth="1"/>
    <col min="13" max="13" width="10.5703125" customWidth="1"/>
    <col min="14" max="14" width="0.85546875" customWidth="1"/>
  </cols>
  <sheetData>
    <row r="2" spans="1:17" ht="15.75" thickBot="1" x14ac:dyDescent="0.3">
      <c r="D2" s="8" t="s">
        <v>107</v>
      </c>
      <c r="E2" s="8" t="s">
        <v>108</v>
      </c>
      <c r="F2" s="8" t="s">
        <v>109</v>
      </c>
      <c r="G2" s="8" t="s">
        <v>110</v>
      </c>
      <c r="H2" s="8" t="s">
        <v>111</v>
      </c>
      <c r="I2" s="8" t="s">
        <v>112</v>
      </c>
    </row>
    <row r="3" spans="1:17" x14ac:dyDescent="0.25">
      <c r="D3" t="s">
        <v>44</v>
      </c>
      <c r="E3" s="201" t="s">
        <v>113</v>
      </c>
      <c r="F3" s="136">
        <v>45933</v>
      </c>
      <c r="G3" s="93" t="s">
        <v>44</v>
      </c>
      <c r="H3" s="122">
        <v>275000</v>
      </c>
      <c r="I3" t="str">
        <f t="shared" ref="I3:I9" si="0">+VLOOKUP(G3,$D$3:$E$10,2,0)</f>
        <v>0070139230004098394253</v>
      </c>
    </row>
    <row r="4" spans="1:17" x14ac:dyDescent="0.25">
      <c r="C4" s="134" t="s">
        <v>114</v>
      </c>
      <c r="D4" t="s">
        <v>57</v>
      </c>
      <c r="E4" t="s">
        <v>75</v>
      </c>
      <c r="F4" s="136">
        <v>45933</v>
      </c>
      <c r="G4" s="36" t="s">
        <v>57</v>
      </c>
      <c r="H4" s="123">
        <v>280000</v>
      </c>
      <c r="I4" t="str">
        <f t="shared" si="0"/>
        <v>0000003100058242710478</v>
      </c>
    </row>
    <row r="5" spans="1:17" x14ac:dyDescent="0.25">
      <c r="D5" t="s">
        <v>45</v>
      </c>
      <c r="E5" s="11" t="s">
        <v>76</v>
      </c>
      <c r="F5" s="136">
        <v>45933</v>
      </c>
      <c r="G5" s="36" t="s">
        <v>45</v>
      </c>
      <c r="H5" s="123"/>
      <c r="I5" t="str">
        <f t="shared" si="0"/>
        <v>0000003100063889228626</v>
      </c>
      <c r="J5" t="s">
        <v>76</v>
      </c>
    </row>
    <row r="6" spans="1:17" x14ac:dyDescent="0.25">
      <c r="D6" s="200" t="s">
        <v>51</v>
      </c>
      <c r="E6" s="11" t="s">
        <v>77</v>
      </c>
      <c r="F6" s="136">
        <v>45933</v>
      </c>
      <c r="G6" s="36" t="s">
        <v>51</v>
      </c>
      <c r="H6" s="123"/>
      <c r="I6" t="str">
        <f t="shared" si="0"/>
        <v>0000003100068249733761</v>
      </c>
      <c r="J6" t="s">
        <v>77</v>
      </c>
    </row>
    <row r="7" spans="1:17" x14ac:dyDescent="0.25">
      <c r="D7" t="s">
        <v>63</v>
      </c>
      <c r="E7" s="11" t="s">
        <v>78</v>
      </c>
      <c r="F7" s="136">
        <v>45933</v>
      </c>
      <c r="G7" s="36" t="s">
        <v>63</v>
      </c>
      <c r="H7" s="123"/>
      <c r="I7" t="str">
        <f t="shared" si="0"/>
        <v>4530000800014661152497</v>
      </c>
    </row>
    <row r="8" spans="1:17" x14ac:dyDescent="0.25">
      <c r="D8" s="200" t="s">
        <v>69</v>
      </c>
      <c r="E8" s="11" t="s">
        <v>115</v>
      </c>
      <c r="F8" s="136">
        <v>45933</v>
      </c>
      <c r="G8" s="36" t="s">
        <v>69</v>
      </c>
      <c r="H8" s="123"/>
      <c r="I8" t="str">
        <f t="shared" si="0"/>
        <v>dsalvatierrabb</v>
      </c>
      <c r="J8" t="s">
        <v>115</v>
      </c>
    </row>
    <row r="9" spans="1:17" x14ac:dyDescent="0.25">
      <c r="D9" t="s">
        <v>68</v>
      </c>
      <c r="E9" t="s">
        <v>80</v>
      </c>
      <c r="F9" s="136">
        <v>45933</v>
      </c>
      <c r="G9" s="36" t="s">
        <v>68</v>
      </c>
      <c r="H9" s="148">
        <v>550000</v>
      </c>
      <c r="I9" t="str">
        <f t="shared" si="0"/>
        <v>0000003100059899413118</v>
      </c>
    </row>
    <row r="10" spans="1:17" x14ac:dyDescent="0.25">
      <c r="F10" s="136"/>
      <c r="G10" s="36"/>
      <c r="H10" s="148"/>
    </row>
    <row r="11" spans="1:17" x14ac:dyDescent="0.25">
      <c r="H11" s="131">
        <f>+SUM(H3:H10)</f>
        <v>1105000</v>
      </c>
    </row>
    <row r="12" spans="1:17" x14ac:dyDescent="0.25">
      <c r="A12" s="153" t="s">
        <v>116</v>
      </c>
      <c r="B12" s="154"/>
      <c r="C12" s="155"/>
    </row>
    <row r="13" spans="1:17" x14ac:dyDescent="0.25">
      <c r="A13" s="156">
        <f>130000/4</f>
        <v>32500</v>
      </c>
      <c r="B13" t="s">
        <v>117</v>
      </c>
      <c r="C13" s="157"/>
      <c r="D13" t="s">
        <v>44</v>
      </c>
      <c r="E13" s="55">
        <f>+H19</f>
        <v>300000</v>
      </c>
      <c r="H13" s="6"/>
      <c r="J13" s="169"/>
    </row>
    <row r="14" spans="1:17" x14ac:dyDescent="0.25">
      <c r="A14" s="156">
        <v>210000</v>
      </c>
      <c r="B14" t="s">
        <v>118</v>
      </c>
      <c r="C14" s="157"/>
      <c r="D14" t="s">
        <v>45</v>
      </c>
      <c r="E14" s="55"/>
      <c r="P14" s="165">
        <f>+P16+Q16</f>
        <v>440000.4</v>
      </c>
    </row>
    <row r="15" spans="1:17" x14ac:dyDescent="0.25">
      <c r="A15" s="156">
        <v>35625</v>
      </c>
      <c r="B15" t="s">
        <v>118</v>
      </c>
      <c r="C15" s="157"/>
      <c r="D15" t="s">
        <v>69</v>
      </c>
      <c r="E15" s="55">
        <f>+H23</f>
        <v>250000</v>
      </c>
    </row>
    <row r="16" spans="1:17" ht="15.75" thickBot="1" x14ac:dyDescent="0.3">
      <c r="A16" s="158">
        <f>+A13+A14+A15</f>
        <v>278125</v>
      </c>
      <c r="B16" s="159" t="s">
        <v>119</v>
      </c>
      <c r="C16" s="160"/>
      <c r="D16" t="s">
        <v>57</v>
      </c>
      <c r="E16" s="55">
        <f>+H24</f>
        <v>280000</v>
      </c>
      <c r="O16" s="166">
        <f>+SUM(O19:O23)</f>
        <v>1165000.8</v>
      </c>
      <c r="P16" s="166">
        <f>+SUM(P19:P23)</f>
        <v>145000</v>
      </c>
      <c r="Q16" s="166">
        <f>+SUM(Q19:Q23)</f>
        <v>295000.40000000002</v>
      </c>
    </row>
    <row r="17" spans="1:17" ht="15.75" thickBot="1" x14ac:dyDescent="0.3">
      <c r="D17" t="s">
        <v>120</v>
      </c>
      <c r="E17" s="56">
        <f>+I21</f>
        <v>650000</v>
      </c>
      <c r="F17" s="137" t="s">
        <v>121</v>
      </c>
      <c r="G17" s="165">
        <f>+SUM(G19:G27)</f>
        <v>9550000</v>
      </c>
      <c r="H17" s="165">
        <f>+SUM(H19:H27)</f>
        <v>1775000</v>
      </c>
      <c r="K17" t="s">
        <v>122</v>
      </c>
      <c r="O17" s="215" t="s">
        <v>123</v>
      </c>
      <c r="P17" s="216"/>
      <c r="Q17" s="217"/>
    </row>
    <row r="18" spans="1:17" ht="15.75" thickBot="1" x14ac:dyDescent="0.3">
      <c r="D18" t="s">
        <v>63</v>
      </c>
      <c r="E18" s="55">
        <v>100000</v>
      </c>
      <c r="F18" s="142" t="s">
        <v>124</v>
      </c>
      <c r="G18" s="140" t="s">
        <v>125</v>
      </c>
      <c r="H18" s="140" t="s">
        <v>126</v>
      </c>
      <c r="I18" s="178" t="s">
        <v>127</v>
      </c>
      <c r="J18" s="197" t="s">
        <v>128</v>
      </c>
      <c r="K18" s="190" t="s">
        <v>125</v>
      </c>
      <c r="L18" s="191" t="s">
        <v>126</v>
      </c>
      <c r="M18" s="192" t="s">
        <v>127</v>
      </c>
      <c r="O18" s="179" t="s">
        <v>125</v>
      </c>
      <c r="P18" s="180" t="s">
        <v>126</v>
      </c>
      <c r="Q18" s="181" t="s">
        <v>127</v>
      </c>
    </row>
    <row r="19" spans="1:17" x14ac:dyDescent="0.25">
      <c r="D19" t="s">
        <v>129</v>
      </c>
      <c r="E19" s="166">
        <f>+I22</f>
        <v>575000</v>
      </c>
      <c r="F19" s="141" t="s">
        <v>130</v>
      </c>
      <c r="G19" s="139">
        <v>1200000</v>
      </c>
      <c r="H19" s="139">
        <f t="shared" ref="H19:H20" si="1">+G19/4</f>
        <v>300000</v>
      </c>
      <c r="I19" s="138"/>
      <c r="J19" s="176">
        <v>0.15</v>
      </c>
      <c r="K19" s="198">
        <f>$G19+($G19*$J19)</f>
        <v>1380000</v>
      </c>
      <c r="L19" s="139">
        <f>+K19/4</f>
        <v>345000</v>
      </c>
      <c r="M19" s="193"/>
      <c r="O19" s="182">
        <f t="shared" ref="O19:Q23" si="2">+K19-G19</f>
        <v>180000</v>
      </c>
      <c r="P19" s="183">
        <f t="shared" si="2"/>
        <v>45000</v>
      </c>
      <c r="Q19" s="184">
        <f t="shared" si="2"/>
        <v>0</v>
      </c>
    </row>
    <row r="20" spans="1:17" x14ac:dyDescent="0.25">
      <c r="F20" s="141" t="s">
        <v>131</v>
      </c>
      <c r="G20" s="139">
        <v>1100000</v>
      </c>
      <c r="H20" s="139">
        <f t="shared" si="1"/>
        <v>275000</v>
      </c>
      <c r="I20" s="139"/>
      <c r="J20" s="177">
        <v>0.2</v>
      </c>
      <c r="K20" s="198">
        <f>$G20+($G20*$J20)</f>
        <v>1320000</v>
      </c>
      <c r="L20" s="139">
        <f t="shared" ref="L20" si="3">+K20/4</f>
        <v>330000</v>
      </c>
      <c r="M20" s="194"/>
      <c r="O20" s="185">
        <f t="shared" si="2"/>
        <v>220000</v>
      </c>
      <c r="P20" s="165">
        <f t="shared" si="2"/>
        <v>55000</v>
      </c>
      <c r="Q20" s="186">
        <f t="shared" si="2"/>
        <v>0</v>
      </c>
    </row>
    <row r="21" spans="1:17" x14ac:dyDescent="0.25">
      <c r="B21" t="s">
        <v>132</v>
      </c>
      <c r="F21" s="141" t="s">
        <v>133</v>
      </c>
      <c r="G21" s="139">
        <v>1300000</v>
      </c>
      <c r="H21" s="139"/>
      <c r="I21" s="139">
        <f>+G21/2</f>
        <v>650000</v>
      </c>
      <c r="J21" s="177">
        <v>0.184616</v>
      </c>
      <c r="K21" s="198">
        <f>$G21+($G21*$J21)</f>
        <v>1540000.8</v>
      </c>
      <c r="L21" s="139"/>
      <c r="M21" s="194">
        <f>+K21/2</f>
        <v>770000.4</v>
      </c>
      <c r="O21" s="185">
        <f t="shared" si="2"/>
        <v>240000.80000000005</v>
      </c>
      <c r="P21" s="165">
        <f t="shared" si="2"/>
        <v>0</v>
      </c>
      <c r="Q21" s="186">
        <f t="shared" si="2"/>
        <v>120000.40000000002</v>
      </c>
    </row>
    <row r="22" spans="1:17" x14ac:dyDescent="0.25">
      <c r="A22" t="s">
        <v>134</v>
      </c>
      <c r="B22" s="55">
        <v>135998</v>
      </c>
      <c r="F22" s="141" t="s">
        <v>72</v>
      </c>
      <c r="G22" s="139">
        <v>1150000</v>
      </c>
      <c r="H22" s="139"/>
      <c r="I22" s="139">
        <f>+G22/2</f>
        <v>575000</v>
      </c>
      <c r="J22" s="177">
        <v>0.3</v>
      </c>
      <c r="K22" s="198">
        <f>$G22+($G22*$J22)</f>
        <v>1495000</v>
      </c>
      <c r="L22" s="139"/>
      <c r="M22" s="194">
        <v>750000</v>
      </c>
      <c r="O22" s="185">
        <f t="shared" si="2"/>
        <v>345000</v>
      </c>
      <c r="P22" s="165">
        <f t="shared" si="2"/>
        <v>0</v>
      </c>
      <c r="Q22" s="186">
        <f t="shared" si="2"/>
        <v>175000</v>
      </c>
    </row>
    <row r="23" spans="1:17" ht="15.75" thickBot="1" x14ac:dyDescent="0.3">
      <c r="A23" s="8" t="s">
        <v>135</v>
      </c>
      <c r="B23" s="8" t="s">
        <v>136</v>
      </c>
      <c r="D23" s="8" t="s">
        <v>12</v>
      </c>
      <c r="F23" s="141" t="s">
        <v>137</v>
      </c>
      <c r="G23" s="139">
        <v>1000000</v>
      </c>
      <c r="H23" s="139">
        <f>+G23/4</f>
        <v>250000</v>
      </c>
      <c r="I23" s="138"/>
      <c r="J23" s="176">
        <v>0.18</v>
      </c>
      <c r="K23" s="199">
        <f>$G23+($G23*$J23)</f>
        <v>1180000</v>
      </c>
      <c r="L23" s="195">
        <f>+K23/4</f>
        <v>295000</v>
      </c>
      <c r="M23" s="196"/>
      <c r="N23" s="143"/>
      <c r="O23" s="187">
        <f t="shared" si="2"/>
        <v>180000</v>
      </c>
      <c r="P23" s="188">
        <f t="shared" si="2"/>
        <v>45000</v>
      </c>
      <c r="Q23" s="189">
        <f t="shared" si="2"/>
        <v>0</v>
      </c>
    </row>
    <row r="24" spans="1:17" x14ac:dyDescent="0.25">
      <c r="A24">
        <v>1</v>
      </c>
      <c r="B24" s="55">
        <f>+B22/3</f>
        <v>45332.666666666664</v>
      </c>
      <c r="D24" s="168">
        <v>46031</v>
      </c>
      <c r="F24" s="141" t="s">
        <v>57</v>
      </c>
      <c r="G24" s="139">
        <v>1120000</v>
      </c>
      <c r="H24" s="139">
        <f>+G24/4</f>
        <v>280000</v>
      </c>
      <c r="I24" s="139"/>
    </row>
    <row r="25" spans="1:17" x14ac:dyDescent="0.25">
      <c r="A25">
        <v>2</v>
      </c>
      <c r="B25" s="55">
        <f>+B24</f>
        <v>45332.666666666664</v>
      </c>
      <c r="D25" s="168">
        <v>46059</v>
      </c>
      <c r="F25" s="141" t="s">
        <v>101</v>
      </c>
      <c r="G25" s="139">
        <f>+(40000*5)*4</f>
        <v>800000</v>
      </c>
      <c r="H25" s="139">
        <f>+G25/4</f>
        <v>200000</v>
      </c>
      <c r="I25" s="138"/>
    </row>
    <row r="26" spans="1:17" x14ac:dyDescent="0.25">
      <c r="A26">
        <v>3</v>
      </c>
      <c r="B26" s="55">
        <f>+B25</f>
        <v>45332.666666666664</v>
      </c>
      <c r="D26" s="168">
        <v>46087</v>
      </c>
      <c r="F26" s="141" t="s">
        <v>138</v>
      </c>
      <c r="G26" s="139">
        <v>1080000</v>
      </c>
      <c r="H26" s="139">
        <f>+G26/4</f>
        <v>270000</v>
      </c>
      <c r="I26" s="138"/>
    </row>
    <row r="27" spans="1:17" x14ac:dyDescent="0.25">
      <c r="F27" s="167" t="s">
        <v>45</v>
      </c>
      <c r="G27" s="139">
        <f>+H27*4</f>
        <v>800000</v>
      </c>
      <c r="H27" s="139">
        <v>200000</v>
      </c>
      <c r="I27" s="138"/>
    </row>
    <row r="29" spans="1:17" x14ac:dyDescent="0.25">
      <c r="G29" s="214" t="s">
        <v>139</v>
      </c>
      <c r="H29" s="214"/>
      <c r="I29" s="55"/>
      <c r="K29" s="55"/>
    </row>
    <row r="30" spans="1:17" x14ac:dyDescent="0.25">
      <c r="G30" t="s">
        <v>140</v>
      </c>
      <c r="H30" s="55">
        <f>270000/3</f>
        <v>90000</v>
      </c>
    </row>
    <row r="31" spans="1:17" x14ac:dyDescent="0.25">
      <c r="G31" t="s">
        <v>141</v>
      </c>
      <c r="H31" s="55">
        <f>270000/3</f>
        <v>90000</v>
      </c>
    </row>
    <row r="32" spans="1:17" x14ac:dyDescent="0.25">
      <c r="G32" t="s">
        <v>142</v>
      </c>
      <c r="H32" s="55">
        <f>270000/3</f>
        <v>90000</v>
      </c>
    </row>
    <row r="33" spans="4:8" x14ac:dyDescent="0.25">
      <c r="H33" s="57">
        <f>+H30+H31+H32</f>
        <v>270000</v>
      </c>
    </row>
    <row r="36" spans="4:8" x14ac:dyDescent="0.25">
      <c r="D36" t="s">
        <v>143</v>
      </c>
      <c r="E36" s="55">
        <v>100</v>
      </c>
    </row>
    <row r="38" spans="4:8" x14ac:dyDescent="0.25">
      <c r="E38">
        <v>630</v>
      </c>
      <c r="F38" t="s">
        <v>144</v>
      </c>
    </row>
    <row r="40" spans="4:8" x14ac:dyDescent="0.25">
      <c r="E40" s="6">
        <f>+E36*E38</f>
        <v>63000</v>
      </c>
    </row>
    <row r="42" spans="4:8" x14ac:dyDescent="0.25">
      <c r="E42">
        <f>64/4</f>
        <v>16</v>
      </c>
    </row>
  </sheetData>
  <mergeCells count="2">
    <mergeCell ref="G29:H29"/>
    <mergeCell ref="O17:Q1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9831F-1ABD-4637-8891-242796B0CAE8}">
  <sheetPr codeName="Hoja3"/>
  <dimension ref="A1:G7"/>
  <sheetViews>
    <sheetView view="pageLayout" zoomScale="70" zoomScaleNormal="175" zoomScalePageLayoutView="70" workbookViewId="0">
      <selection activeCell="A10" sqref="A10"/>
    </sheetView>
  </sheetViews>
  <sheetFormatPr baseColWidth="10" defaultColWidth="53.85546875" defaultRowHeight="15" x14ac:dyDescent="0.25"/>
  <cols>
    <col min="1" max="1" width="118.42578125" customWidth="1"/>
    <col min="2" max="8" width="23.5703125" customWidth="1"/>
  </cols>
  <sheetData>
    <row r="1" spans="1:7" ht="56.85" customHeight="1" thickBot="1" x14ac:dyDescent="0.3">
      <c r="A1" s="175" t="s">
        <v>145</v>
      </c>
    </row>
    <row r="2" spans="1:7" ht="51" customHeight="1" x14ac:dyDescent="0.25">
      <c r="B2" s="110"/>
      <c r="C2" s="173" t="s">
        <v>146</v>
      </c>
      <c r="D2" s="173" t="s">
        <v>147</v>
      </c>
      <c r="E2" s="174" t="s">
        <v>148</v>
      </c>
      <c r="F2" s="173" t="s">
        <v>149</v>
      </c>
      <c r="G2" s="173" t="s">
        <v>150</v>
      </c>
    </row>
    <row r="3" spans="1:7" ht="51" customHeight="1" x14ac:dyDescent="0.25">
      <c r="C3" s="173" t="s">
        <v>151</v>
      </c>
      <c r="D3" s="173" t="s">
        <v>152</v>
      </c>
      <c r="E3" s="173" t="s">
        <v>153</v>
      </c>
      <c r="F3" s="173" t="s">
        <v>154</v>
      </c>
      <c r="G3" s="173" t="s">
        <v>155</v>
      </c>
    </row>
    <row r="4" spans="1:7" ht="51" customHeight="1" x14ac:dyDescent="0.25"/>
    <row r="5" spans="1:7" ht="51" customHeight="1" x14ac:dyDescent="0.25"/>
    <row r="6" spans="1:7" ht="51" customHeight="1" x14ac:dyDescent="0.25"/>
    <row r="7" spans="1:7" ht="51" customHeight="1" x14ac:dyDescent="0.25"/>
  </sheetData>
  <pageMargins left="7.2916666666666671E-2" right="7.2916666666666671E-2" top="0.75" bottom="0.75" header="0.3" footer="0.3"/>
  <pageSetup paperSize="9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Movimientos</vt:lpstr>
      <vt:lpstr>Hoja1</vt:lpstr>
      <vt:lpstr>Hoja2</vt:lpstr>
      <vt:lpstr>_nSubcategoria_tMov</vt:lpstr>
      <vt:lpstr>alex</vt:lpstr>
      <vt:lpstr>david</vt:lpstr>
      <vt:lpstr>Gabriel</vt:lpstr>
      <vt:lpstr>ivan</vt:lpstr>
      <vt:lpstr>magui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Andrés Rojas Moncada</dc:creator>
  <cp:keywords/>
  <dc:description/>
  <cp:lastModifiedBy>Maximiliano Gordillo</cp:lastModifiedBy>
  <cp:revision/>
  <dcterms:created xsi:type="dcterms:W3CDTF">2023-06-03T13:32:25Z</dcterms:created>
  <dcterms:modified xsi:type="dcterms:W3CDTF">2026-05-04T22:44:54Z</dcterms:modified>
  <cp:category/>
  <cp:contentStatus/>
</cp:coreProperties>
</file>